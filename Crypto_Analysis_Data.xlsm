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9.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drawings/drawing4.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1.xml" ContentType="application/vnd.openxmlformats-officedocument.spreadsheetml.pivotTable+xml"/>
  <Override PartName="/xl/drawings/drawing5.xml" ContentType="application/vnd.openxmlformats-officedocument.drawing+xml"/>
  <Override PartName="/xl/tables/table4.xml" ContentType="application/vnd.openxmlformats-officedocument.spreadsheetml.table+xml"/>
  <Override PartName="/xl/slicers/slicer4.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2.xml" ContentType="application/vnd.openxmlformats-officedocument.spreadsheetml.pivotTable+xml"/>
  <Override PartName="/xl/drawings/drawing6.xml" ContentType="application/vnd.openxmlformats-officedocument.drawing+xml"/>
  <Override PartName="/xl/tables/table5.xml" ContentType="application/vnd.openxmlformats-officedocument.spreadsheetml.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tables/table6.xml" ContentType="application/vnd.openxmlformats-officedocument.spreadsheetml.table+xml"/>
  <Override PartName="/xl/pivotTables/pivotTable13.xml" ContentType="application/vnd.openxmlformats-officedocument.spreadsheetml.pivotTable+xml"/>
  <Override PartName="/xl/drawings/drawing8.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slicers/slicer5.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HARSH PATHARE\Downloads\Crypto Analysis Project\"/>
    </mc:Choice>
  </mc:AlternateContent>
  <xr:revisionPtr revIDLastSave="0" documentId="13_ncr:1_{91DA3321-C53E-4C54-B55C-46362C30CD7A}" xr6:coauthVersionLast="47" xr6:coauthVersionMax="47" xr10:uidLastSave="{00000000-0000-0000-0000-000000000000}"/>
  <bookViews>
    <workbookView xWindow="-108" yWindow="-108" windowWidth="23256" windowHeight="13176" firstSheet="2" activeTab="9" xr2:uid="{00000000-000D-0000-FFFF-FFFF00000000}"/>
  </bookViews>
  <sheets>
    <sheet name="Raw_Data" sheetId="1" r:id="rId1"/>
    <sheet name="Cleaned_Data" sheetId="2" r:id="rId2"/>
    <sheet name="Pivot-Charts" sheetId="3" r:id="rId3"/>
    <sheet name="Dashboard" sheetId="4" r:id="rId4"/>
    <sheet name="Task 1" sheetId="5" r:id="rId5"/>
    <sheet name="Task 2" sheetId="6" r:id="rId6"/>
    <sheet name="Task 3" sheetId="7" r:id="rId7"/>
    <sheet name="Task 4" sheetId="8" r:id="rId8"/>
    <sheet name="Task 5" sheetId="9" r:id="rId9"/>
    <sheet name="Task 6" sheetId="10" r:id="rId10"/>
  </sheets>
  <definedNames>
    <definedName name="ExternalData_1" localSheetId="1" hidden="1">'Cleaned_Data'!$A$1:$H$188</definedName>
    <definedName name="Slicer_Price_Category">#N/A</definedName>
    <definedName name="Slicer_Price_Range">#N/A</definedName>
    <definedName name="Slicer_Price_Range_New">#N/A</definedName>
    <definedName name="Slicer_Price_Range1">#N/A</definedName>
  </definedNames>
  <calcPr calcId="191029"/>
  <pivotCaches>
    <pivotCache cacheId="0" r:id="rId11"/>
    <pivotCache cacheId="1" r:id="rId12"/>
    <pivotCache cacheId="2" r:id="rId13"/>
    <pivotCache cacheId="3" r:id="rId14"/>
  </pivotCaches>
  <extLst>
    <ext xmlns:x14="http://schemas.microsoft.com/office/spreadsheetml/2009/9/main" uri="{BBE1A952-AA13-448e-AADC-164F8A28A991}">
      <x14:slicerCaches>
        <x14:slicerCache r:id="rId15"/>
        <x14:slicerCache r:id="rId16"/>
        <x14:slicerCache r:id="rId17"/>
        <x14:slicerCache r:id="rId1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5" i="10" l="1"/>
  <c r="M6" i="10"/>
  <c r="M7" i="10"/>
  <c r="M8" i="10"/>
  <c r="M4" i="10"/>
  <c r="L5" i="10"/>
  <c r="L6" i="10"/>
  <c r="L7" i="10"/>
  <c r="L8" i="10"/>
  <c r="L4" i="10"/>
  <c r="D2" i="10"/>
  <c r="D3" i="10"/>
  <c r="D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D101" i="10"/>
  <c r="D102" i="10"/>
  <c r="D103" i="10"/>
  <c r="D104" i="10"/>
  <c r="D105" i="10"/>
  <c r="D106" i="10"/>
  <c r="D107" i="10"/>
  <c r="D108" i="10"/>
  <c r="D109" i="10"/>
  <c r="D110" i="10"/>
  <c r="D111" i="10"/>
  <c r="D112" i="10"/>
  <c r="D113" i="10"/>
  <c r="D114" i="10"/>
  <c r="D115" i="10"/>
  <c r="D116" i="10"/>
  <c r="D117" i="10"/>
  <c r="D118" i="10"/>
  <c r="D119" i="10"/>
  <c r="D120" i="10"/>
  <c r="D121" i="10"/>
  <c r="D122" i="10"/>
  <c r="D123" i="10"/>
  <c r="D124" i="10"/>
  <c r="D125" i="10"/>
  <c r="D126" i="10"/>
  <c r="D127" i="10"/>
  <c r="D128" i="10"/>
  <c r="D129" i="10"/>
  <c r="D130" i="10"/>
  <c r="D131" i="10"/>
  <c r="D132" i="10"/>
  <c r="D133" i="10"/>
  <c r="D134" i="10"/>
  <c r="D135" i="10"/>
  <c r="D136" i="10"/>
  <c r="D137" i="10"/>
  <c r="D138" i="10"/>
  <c r="D139" i="10"/>
  <c r="D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K8" i="9"/>
  <c r="J8" i="9"/>
  <c r="K7" i="9"/>
  <c r="J12" i="9" s="1"/>
  <c r="J7" i="9"/>
  <c r="K6" i="9"/>
  <c r="J6" i="9"/>
  <c r="K5" i="9"/>
  <c r="J5" i="9"/>
  <c r="K4" i="9"/>
  <c r="J4" i="9"/>
  <c r="C2"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Q6" i="7"/>
  <c r="Q7" i="7"/>
  <c r="Q8" i="7"/>
  <c r="Q9" i="7"/>
  <c r="Q10" i="7"/>
  <c r="Q11" i="7"/>
  <c r="Q12" i="7"/>
  <c r="Q13" i="7"/>
  <c r="Q14" i="7"/>
  <c r="Q5" i="7"/>
  <c r="P6" i="7"/>
  <c r="P7" i="7"/>
  <c r="P8" i="7"/>
  <c r="P9" i="7"/>
  <c r="P10" i="7"/>
  <c r="P11" i="7"/>
  <c r="P12" i="7"/>
  <c r="P13" i="7"/>
  <c r="P14" i="7"/>
  <c r="P5" i="7"/>
  <c r="O6" i="7"/>
  <c r="O7" i="7"/>
  <c r="O8" i="7"/>
  <c r="O9" i="7"/>
  <c r="O10" i="7"/>
  <c r="O11" i="7"/>
  <c r="O12" i="7"/>
  <c r="O13" i="7"/>
  <c r="O14" i="7"/>
  <c r="O5" i="7"/>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2" i="7"/>
  <c r="F2" i="7"/>
  <c r="F3" i="7"/>
  <c r="F4" i="7"/>
  <c r="F5" i="7"/>
  <c r="F6"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E3" i="7"/>
  <c r="E4" i="7"/>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2" i="7"/>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101" i="2"/>
  <c r="S102" i="2"/>
  <c r="S103" i="2"/>
  <c r="S104" i="2"/>
  <c r="S105" i="2"/>
  <c r="S106" i="2"/>
  <c r="S107" i="2"/>
  <c r="S108" i="2"/>
  <c r="S109" i="2"/>
  <c r="S110" i="2"/>
  <c r="S111" i="2"/>
  <c r="S112" i="2"/>
  <c r="S113" i="2"/>
  <c r="S114" i="2"/>
  <c r="S115" i="2"/>
  <c r="S116" i="2"/>
  <c r="S117" i="2"/>
  <c r="S118" i="2"/>
  <c r="S119" i="2"/>
  <c r="S120" i="2"/>
  <c r="S121" i="2"/>
  <c r="S122" i="2"/>
  <c r="S123" i="2"/>
  <c r="S124" i="2"/>
  <c r="S125" i="2"/>
  <c r="S126" i="2"/>
  <c r="S127" i="2"/>
  <c r="S128"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F2" i="6"/>
  <c r="F3" i="6"/>
  <c r="F9" i="6"/>
  <c r="F6" i="6"/>
  <c r="F7" i="6"/>
  <c r="F13" i="6"/>
  <c r="F17" i="6"/>
  <c r="F4" i="6"/>
  <c r="F18" i="6"/>
  <c r="F14" i="6"/>
  <c r="F5" i="6"/>
  <c r="F15" i="6"/>
  <c r="F10" i="6"/>
  <c r="F19" i="6"/>
  <c r="F20" i="6"/>
  <c r="F12" i="6"/>
  <c r="F21" i="6"/>
  <c r="F8" i="6"/>
  <c r="F16" i="6"/>
  <c r="F22" i="6"/>
  <c r="F11" i="6"/>
  <c r="D2" i="6"/>
  <c r="E2" i="6" s="1"/>
  <c r="H2" i="6" s="1"/>
  <c r="D3" i="6"/>
  <c r="E3" i="6" s="1"/>
  <c r="H3" i="6" s="1"/>
  <c r="D9" i="6"/>
  <c r="E9" i="6" s="1"/>
  <c r="H9" i="6" s="1"/>
  <c r="D6" i="6"/>
  <c r="E6" i="6" s="1"/>
  <c r="H6" i="6" s="1"/>
  <c r="D7" i="6"/>
  <c r="E7" i="6" s="1"/>
  <c r="H7" i="6" s="1"/>
  <c r="D13" i="6"/>
  <c r="E13" i="6" s="1"/>
  <c r="H13" i="6" s="1"/>
  <c r="D17" i="6"/>
  <c r="E17" i="6" s="1"/>
  <c r="H17" i="6" s="1"/>
  <c r="D4" i="6"/>
  <c r="E4" i="6" s="1"/>
  <c r="H4" i="6" s="1"/>
  <c r="D18" i="6"/>
  <c r="E18" i="6" s="1"/>
  <c r="H18" i="6" s="1"/>
  <c r="D14" i="6"/>
  <c r="D5" i="6"/>
  <c r="D15" i="6"/>
  <c r="E15" i="6" s="1"/>
  <c r="H15" i="6" s="1"/>
  <c r="D10" i="6"/>
  <c r="E10" i="6" s="1"/>
  <c r="H10" i="6" s="1"/>
  <c r="D19" i="6"/>
  <c r="D20" i="6"/>
  <c r="E20" i="6" s="1"/>
  <c r="H20" i="6" s="1"/>
  <c r="D12" i="6"/>
  <c r="E12" i="6" s="1"/>
  <c r="H12" i="6" s="1"/>
  <c r="D21" i="6"/>
  <c r="E21" i="6" s="1"/>
  <c r="H21" i="6" s="1"/>
  <c r="D8" i="6"/>
  <c r="E8" i="6" s="1"/>
  <c r="H8" i="6" s="1"/>
  <c r="D16" i="6"/>
  <c r="E16" i="6" s="1"/>
  <c r="H16" i="6" s="1"/>
  <c r="D22" i="6"/>
  <c r="E22" i="6" s="1"/>
  <c r="H22" i="6" s="1"/>
  <c r="D11" i="6"/>
  <c r="E11" i="6" s="1"/>
  <c r="H11" i="6" s="1"/>
  <c r="P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F26" i="5"/>
  <c r="F24" i="5"/>
  <c r="F22" i="5"/>
  <c r="F20" i="5"/>
  <c r="F18" i="5"/>
  <c r="N2" i="2" a="1"/>
  <c r="N2" i="2" s="1"/>
  <c r="N3" i="2" a="1"/>
  <c r="N3" i="2" s="1"/>
  <c r="N4" i="2" a="1"/>
  <c r="N4" i="2" s="1"/>
  <c r="N5" i="2" a="1"/>
  <c r="N5" i="2" s="1"/>
  <c r="N6" i="2" a="1"/>
  <c r="N6" i="2" s="1"/>
  <c r="N7" i="2" a="1"/>
  <c r="N7" i="2" s="1"/>
  <c r="N8" i="2" a="1"/>
  <c r="N8" i="2" s="1"/>
  <c r="N9" i="2" a="1"/>
  <c r="N9" i="2" s="1"/>
  <c r="N10" i="2" a="1"/>
  <c r="N10" i="2" s="1"/>
  <c r="N11" i="2" a="1"/>
  <c r="N11" i="2" s="1"/>
  <c r="N12" i="2" a="1"/>
  <c r="N12" i="2" s="1"/>
  <c r="N13" i="2" a="1"/>
  <c r="N13" i="2" s="1"/>
  <c r="N14" i="2" a="1"/>
  <c r="N14" i="2" s="1"/>
  <c r="N15" i="2" a="1"/>
  <c r="N15" i="2" s="1"/>
  <c r="N16" i="2" a="1"/>
  <c r="N16" i="2" s="1"/>
  <c r="N17" i="2" a="1"/>
  <c r="N17" i="2" s="1"/>
  <c r="N18" i="2" a="1"/>
  <c r="N18" i="2" s="1"/>
  <c r="N19" i="2" a="1"/>
  <c r="N19" i="2" s="1"/>
  <c r="N20" i="2" a="1"/>
  <c r="N20" i="2" s="1"/>
  <c r="N21" i="2" a="1"/>
  <c r="N21" i="2" s="1"/>
  <c r="N22" i="2" a="1"/>
  <c r="N22" i="2" s="1"/>
  <c r="N23" i="2" a="1"/>
  <c r="N23" i="2" s="1"/>
  <c r="N24" i="2" a="1"/>
  <c r="N24" i="2" s="1"/>
  <c r="N25" i="2" a="1"/>
  <c r="N25" i="2" s="1"/>
  <c r="N26" i="2" a="1"/>
  <c r="N26" i="2" s="1"/>
  <c r="N27" i="2" a="1"/>
  <c r="N27" i="2" s="1"/>
  <c r="N28" i="2" a="1"/>
  <c r="N28" i="2" s="1"/>
  <c r="N29" i="2" a="1"/>
  <c r="N29" i="2" s="1"/>
  <c r="N30" i="2" a="1"/>
  <c r="N30" i="2" s="1"/>
  <c r="N31" i="2" a="1"/>
  <c r="N31" i="2" s="1"/>
  <c r="N32" i="2" a="1"/>
  <c r="N32" i="2" s="1"/>
  <c r="N33" i="2" a="1"/>
  <c r="N33" i="2" s="1"/>
  <c r="N34" i="2" a="1"/>
  <c r="N34" i="2" s="1"/>
  <c r="N35" i="2" a="1"/>
  <c r="N35" i="2" s="1"/>
  <c r="N36" i="2" a="1"/>
  <c r="N36" i="2" s="1"/>
  <c r="N37" i="2" a="1"/>
  <c r="N37" i="2" s="1"/>
  <c r="N38" i="2" a="1"/>
  <c r="N38" i="2" s="1"/>
  <c r="N39" i="2" a="1"/>
  <c r="N39" i="2" s="1"/>
  <c r="N40" i="2" a="1"/>
  <c r="N40" i="2" s="1"/>
  <c r="N41" i="2" a="1"/>
  <c r="N41" i="2" s="1"/>
  <c r="N42" i="2" a="1"/>
  <c r="N42" i="2" s="1"/>
  <c r="N43" i="2" a="1"/>
  <c r="N43" i="2" s="1"/>
  <c r="N44" i="2" a="1"/>
  <c r="N44" i="2" s="1"/>
  <c r="N45" i="2" a="1"/>
  <c r="N45" i="2" s="1"/>
  <c r="N46" i="2" a="1"/>
  <c r="N46" i="2" s="1"/>
  <c r="N47" i="2" a="1"/>
  <c r="N47" i="2" s="1"/>
  <c r="N48" i="2" a="1"/>
  <c r="N48" i="2" s="1"/>
  <c r="N49" i="2" a="1"/>
  <c r="N49" i="2" s="1"/>
  <c r="N50" i="2" a="1"/>
  <c r="N50" i="2" s="1"/>
  <c r="N51" i="2" a="1"/>
  <c r="N51" i="2" s="1"/>
  <c r="N52" i="2" a="1"/>
  <c r="N52" i="2" s="1"/>
  <c r="N53" i="2" a="1"/>
  <c r="N53" i="2" s="1"/>
  <c r="N54" i="2" a="1"/>
  <c r="N54" i="2" s="1"/>
  <c r="N55" i="2" a="1"/>
  <c r="N55" i="2" s="1"/>
  <c r="N56" i="2" a="1"/>
  <c r="N56" i="2" s="1"/>
  <c r="N57" i="2" a="1"/>
  <c r="N57" i="2" s="1"/>
  <c r="N58" i="2" a="1"/>
  <c r="N58" i="2" s="1"/>
  <c r="N59" i="2" a="1"/>
  <c r="N59" i="2" s="1"/>
  <c r="N60" i="2" a="1"/>
  <c r="N60" i="2" s="1"/>
  <c r="N61" i="2" a="1"/>
  <c r="N61" i="2" s="1"/>
  <c r="N62" i="2" a="1"/>
  <c r="N62" i="2" s="1"/>
  <c r="N63" i="2" a="1"/>
  <c r="N63" i="2" s="1"/>
  <c r="N64" i="2" a="1"/>
  <c r="N64" i="2" s="1"/>
  <c r="N65" i="2" a="1"/>
  <c r="N65" i="2" s="1"/>
  <c r="N66" i="2" a="1"/>
  <c r="N66" i="2" s="1"/>
  <c r="N67" i="2" a="1"/>
  <c r="N67" i="2" s="1"/>
  <c r="N68" i="2" a="1"/>
  <c r="N68" i="2" s="1"/>
  <c r="N69" i="2" a="1"/>
  <c r="N69" i="2" s="1"/>
  <c r="N70" i="2" a="1"/>
  <c r="N70" i="2" s="1"/>
  <c r="N71" i="2" a="1"/>
  <c r="N71" i="2" s="1"/>
  <c r="N72" i="2" a="1"/>
  <c r="N72" i="2" s="1"/>
  <c r="N73" i="2" a="1"/>
  <c r="N73" i="2" s="1"/>
  <c r="N74" i="2" a="1"/>
  <c r="N74" i="2" s="1"/>
  <c r="N75" i="2" a="1"/>
  <c r="N75" i="2" s="1"/>
  <c r="N76" i="2" a="1"/>
  <c r="N76" i="2" s="1"/>
  <c r="N77" i="2" a="1"/>
  <c r="N77" i="2" s="1"/>
  <c r="N78" i="2" a="1"/>
  <c r="N78" i="2" s="1"/>
  <c r="N79" i="2" a="1"/>
  <c r="N79" i="2" s="1"/>
  <c r="N80" i="2" a="1"/>
  <c r="N80" i="2" s="1"/>
  <c r="N81" i="2" a="1"/>
  <c r="N81" i="2" s="1"/>
  <c r="N82" i="2" a="1"/>
  <c r="N82" i="2" s="1"/>
  <c r="N83" i="2" a="1"/>
  <c r="N83" i="2" s="1"/>
  <c r="N84" i="2" a="1"/>
  <c r="N84" i="2" s="1"/>
  <c r="N85" i="2" a="1"/>
  <c r="N85" i="2" s="1"/>
  <c r="N86" i="2" a="1"/>
  <c r="N86" i="2" s="1"/>
  <c r="N87" i="2" a="1"/>
  <c r="N87" i="2" s="1"/>
  <c r="N88" i="2" a="1"/>
  <c r="N88" i="2" s="1"/>
  <c r="N89" i="2" a="1"/>
  <c r="N89" i="2" s="1"/>
  <c r="N90" i="2" a="1"/>
  <c r="N90" i="2" s="1"/>
  <c r="N91" i="2" a="1"/>
  <c r="N91" i="2" s="1"/>
  <c r="N92" i="2" a="1"/>
  <c r="N92" i="2" s="1"/>
  <c r="N93" i="2" a="1"/>
  <c r="N93" i="2" s="1"/>
  <c r="N94" i="2" a="1"/>
  <c r="N94" i="2" s="1"/>
  <c r="N95" i="2" a="1"/>
  <c r="N95" i="2" s="1"/>
  <c r="N96" i="2" a="1"/>
  <c r="N96" i="2" s="1"/>
  <c r="N97" i="2" a="1"/>
  <c r="N97" i="2" s="1"/>
  <c r="N98" i="2" a="1"/>
  <c r="N98" i="2" s="1"/>
  <c r="N99" i="2" a="1"/>
  <c r="N99" i="2" s="1"/>
  <c r="N100" i="2" a="1"/>
  <c r="N100" i="2" s="1"/>
  <c r="N101" i="2" a="1"/>
  <c r="N101" i="2" s="1"/>
  <c r="N102" i="2" a="1"/>
  <c r="N102" i="2" s="1"/>
  <c r="N103" i="2" a="1"/>
  <c r="N103" i="2" s="1"/>
  <c r="N104" i="2" a="1"/>
  <c r="N104" i="2" s="1"/>
  <c r="N105" i="2" a="1"/>
  <c r="N105" i="2" s="1"/>
  <c r="N106" i="2" a="1"/>
  <c r="N106" i="2" s="1"/>
  <c r="N107" i="2" a="1"/>
  <c r="N107" i="2" s="1"/>
  <c r="N108" i="2" a="1"/>
  <c r="N108" i="2" s="1"/>
  <c r="N109" i="2" a="1"/>
  <c r="N109" i="2" s="1"/>
  <c r="N110" i="2" a="1"/>
  <c r="N110" i="2" s="1"/>
  <c r="N111" i="2" a="1"/>
  <c r="N111" i="2" s="1"/>
  <c r="N112" i="2" a="1"/>
  <c r="N112" i="2" s="1"/>
  <c r="N113" i="2" a="1"/>
  <c r="N113" i="2" s="1"/>
  <c r="N114" i="2" a="1"/>
  <c r="N114" i="2" s="1"/>
  <c r="N115" i="2" a="1"/>
  <c r="N115" i="2" s="1"/>
  <c r="N116" i="2" a="1"/>
  <c r="N116" i="2" s="1"/>
  <c r="N117" i="2" a="1"/>
  <c r="N117" i="2" s="1"/>
  <c r="N118" i="2" a="1"/>
  <c r="N118" i="2" s="1"/>
  <c r="N119" i="2" a="1"/>
  <c r="N119" i="2" s="1"/>
  <c r="N120" i="2" a="1"/>
  <c r="N120" i="2" s="1"/>
  <c r="N121" i="2" a="1"/>
  <c r="N121" i="2" s="1"/>
  <c r="N122" i="2" a="1"/>
  <c r="N122" i="2" s="1"/>
  <c r="N123" i="2" a="1"/>
  <c r="N123" i="2" s="1"/>
  <c r="N124" i="2" a="1"/>
  <c r="N124" i="2" s="1"/>
  <c r="N125" i="2" a="1"/>
  <c r="N125" i="2" s="1"/>
  <c r="N126" i="2" a="1"/>
  <c r="N126" i="2" s="1"/>
  <c r="N127" i="2" a="1"/>
  <c r="N127" i="2" s="1"/>
  <c r="N128" i="2" a="1"/>
  <c r="N128" i="2" s="1"/>
  <c r="N129" i="2" a="1"/>
  <c r="N129" i="2" s="1"/>
  <c r="N130" i="2" a="1"/>
  <c r="N130" i="2" s="1"/>
  <c r="N131" i="2" a="1"/>
  <c r="N131" i="2" s="1"/>
  <c r="N132" i="2" a="1"/>
  <c r="N132" i="2" s="1"/>
  <c r="N133" i="2" a="1"/>
  <c r="N133" i="2" s="1"/>
  <c r="N134" i="2" a="1"/>
  <c r="N134" i="2" s="1"/>
  <c r="N135" i="2" a="1"/>
  <c r="N135" i="2" s="1"/>
  <c r="N136" i="2" a="1"/>
  <c r="N136" i="2" s="1"/>
  <c r="N137" i="2" a="1"/>
  <c r="N137" i="2" s="1"/>
  <c r="N138" i="2" a="1"/>
  <c r="N138" i="2" s="1"/>
  <c r="N139" i="2" a="1"/>
  <c r="N139" i="2" s="1"/>
  <c r="N140" i="2" a="1"/>
  <c r="N140" i="2" s="1"/>
  <c r="N141" i="2" a="1"/>
  <c r="N141" i="2" s="1"/>
  <c r="N142" i="2" a="1"/>
  <c r="N142" i="2" s="1"/>
  <c r="N143" i="2" a="1"/>
  <c r="N143" i="2" s="1"/>
  <c r="N144" i="2" a="1"/>
  <c r="N144" i="2" s="1"/>
  <c r="N145" i="2" a="1"/>
  <c r="N145" i="2" s="1"/>
  <c r="N146" i="2" a="1"/>
  <c r="N146" i="2" s="1"/>
  <c r="N147" i="2" a="1"/>
  <c r="N147" i="2" s="1"/>
  <c r="N148" i="2" a="1"/>
  <c r="N148" i="2" s="1"/>
  <c r="N149" i="2" a="1"/>
  <c r="N149" i="2" s="1"/>
  <c r="N150" i="2" a="1"/>
  <c r="N150" i="2" s="1"/>
  <c r="N151" i="2" a="1"/>
  <c r="N151" i="2" s="1"/>
  <c r="N152" i="2" a="1"/>
  <c r="N152" i="2" s="1"/>
  <c r="N153" i="2" a="1"/>
  <c r="N153" i="2" s="1"/>
  <c r="N154" i="2" a="1"/>
  <c r="N154" i="2" s="1"/>
  <c r="N155" i="2" a="1"/>
  <c r="N155" i="2" s="1"/>
  <c r="N156" i="2" a="1"/>
  <c r="N156" i="2" s="1"/>
  <c r="N157" i="2" a="1"/>
  <c r="N157" i="2" s="1"/>
  <c r="N158" i="2" a="1"/>
  <c r="N158" i="2" s="1"/>
  <c r="N159" i="2" a="1"/>
  <c r="N159" i="2" s="1"/>
  <c r="N160" i="2" a="1"/>
  <c r="N160" i="2" s="1"/>
  <c r="N161" i="2" a="1"/>
  <c r="N161" i="2" s="1"/>
  <c r="N162" i="2" a="1"/>
  <c r="N162" i="2" s="1"/>
  <c r="N163" i="2" a="1"/>
  <c r="N163" i="2" s="1"/>
  <c r="N164" i="2" a="1"/>
  <c r="N164" i="2" s="1"/>
  <c r="N165" i="2" a="1"/>
  <c r="N165" i="2" s="1"/>
  <c r="N166" i="2" a="1"/>
  <c r="N166" i="2" s="1"/>
  <c r="N167" i="2" a="1"/>
  <c r="N167" i="2" s="1"/>
  <c r="N168" i="2" a="1"/>
  <c r="N168" i="2" s="1"/>
  <c r="N169" i="2" a="1"/>
  <c r="N169" i="2" s="1"/>
  <c r="N170" i="2" a="1"/>
  <c r="N170" i="2" s="1"/>
  <c r="N171" i="2" a="1"/>
  <c r="N171" i="2" s="1"/>
  <c r="N172" i="2" a="1"/>
  <c r="N172" i="2" s="1"/>
  <c r="N173" i="2" a="1"/>
  <c r="N173" i="2" s="1"/>
  <c r="N174" i="2" a="1"/>
  <c r="N174" i="2" s="1"/>
  <c r="N175" i="2" a="1"/>
  <c r="N175" i="2" s="1"/>
  <c r="N176" i="2" a="1"/>
  <c r="N176" i="2" s="1"/>
  <c r="N177" i="2" a="1"/>
  <c r="N177" i="2" s="1"/>
  <c r="N178" i="2" a="1"/>
  <c r="N178" i="2" s="1"/>
  <c r="N179" i="2" a="1"/>
  <c r="N179" i="2" s="1"/>
  <c r="N180" i="2" a="1"/>
  <c r="N180" i="2" s="1"/>
  <c r="N181" i="2" a="1"/>
  <c r="N181" i="2" s="1"/>
  <c r="N182" i="2" a="1"/>
  <c r="N182" i="2" s="1"/>
  <c r="N183" i="2" a="1"/>
  <c r="N183" i="2" s="1"/>
  <c r="N184" i="2" a="1"/>
  <c r="N184" i="2" s="1"/>
  <c r="N185" i="2" a="1"/>
  <c r="N185" i="2" s="1"/>
  <c r="N186" i="2" a="1"/>
  <c r="N186" i="2" s="1"/>
  <c r="N187" i="2" a="1"/>
  <c r="N187" i="2" s="1"/>
  <c r="N188" i="2" a="1"/>
  <c r="N188" i="2" s="1"/>
  <c r="L2" i="2"/>
  <c r="M2" i="2" s="1"/>
  <c r="R2" i="2" s="1"/>
  <c r="L3" i="2"/>
  <c r="M3" i="2" s="1"/>
  <c r="R3" i="2" s="1"/>
  <c r="L4" i="2"/>
  <c r="M4" i="2" s="1"/>
  <c r="R4" i="2" s="1"/>
  <c r="L5" i="2"/>
  <c r="M5" i="2" s="1"/>
  <c r="R5" i="2" s="1"/>
  <c r="L6" i="2"/>
  <c r="M6" i="2" s="1"/>
  <c r="R6" i="2" s="1"/>
  <c r="L7" i="2"/>
  <c r="M7" i="2" s="1"/>
  <c r="R7" i="2" s="1"/>
  <c r="L8" i="2"/>
  <c r="M8" i="2" s="1"/>
  <c r="R8" i="2" s="1"/>
  <c r="L9" i="2"/>
  <c r="M9" i="2" s="1"/>
  <c r="R9" i="2" s="1"/>
  <c r="L10" i="2"/>
  <c r="M10" i="2" s="1"/>
  <c r="R10" i="2" s="1"/>
  <c r="L11" i="2"/>
  <c r="M11" i="2" s="1"/>
  <c r="R11" i="2" s="1"/>
  <c r="L12" i="2"/>
  <c r="M12" i="2" s="1"/>
  <c r="R12" i="2" s="1"/>
  <c r="L13" i="2"/>
  <c r="M13" i="2" s="1"/>
  <c r="R13" i="2" s="1"/>
  <c r="L14" i="2"/>
  <c r="M14" i="2" s="1"/>
  <c r="R14" i="2" s="1"/>
  <c r="L15" i="2"/>
  <c r="M15" i="2" s="1"/>
  <c r="R15" i="2" s="1"/>
  <c r="L16" i="2"/>
  <c r="M16" i="2" s="1"/>
  <c r="R16" i="2" s="1"/>
  <c r="L17" i="2"/>
  <c r="M17" i="2" s="1"/>
  <c r="R17" i="2" s="1"/>
  <c r="L18" i="2"/>
  <c r="M18" i="2" s="1"/>
  <c r="R18" i="2" s="1"/>
  <c r="L19" i="2"/>
  <c r="M19" i="2" s="1"/>
  <c r="R19" i="2" s="1"/>
  <c r="L20" i="2"/>
  <c r="M20" i="2" s="1"/>
  <c r="R20" i="2" s="1"/>
  <c r="L21" i="2"/>
  <c r="M21" i="2" s="1"/>
  <c r="R21" i="2" s="1"/>
  <c r="L22" i="2"/>
  <c r="M22" i="2" s="1"/>
  <c r="R22" i="2" s="1"/>
  <c r="L23" i="2"/>
  <c r="M23" i="2" s="1"/>
  <c r="R23" i="2" s="1"/>
  <c r="L24" i="2"/>
  <c r="M24" i="2" s="1"/>
  <c r="R24" i="2" s="1"/>
  <c r="L25" i="2"/>
  <c r="M25" i="2" s="1"/>
  <c r="R25" i="2" s="1"/>
  <c r="L26" i="2"/>
  <c r="M26" i="2" s="1"/>
  <c r="R26" i="2" s="1"/>
  <c r="L27" i="2"/>
  <c r="M27" i="2" s="1"/>
  <c r="R27" i="2" s="1"/>
  <c r="L28" i="2"/>
  <c r="M28" i="2" s="1"/>
  <c r="R28" i="2" s="1"/>
  <c r="L29" i="2"/>
  <c r="M29" i="2" s="1"/>
  <c r="R29" i="2" s="1"/>
  <c r="L30" i="2"/>
  <c r="M30" i="2" s="1"/>
  <c r="R30" i="2" s="1"/>
  <c r="L31" i="2"/>
  <c r="M31" i="2" s="1"/>
  <c r="R31" i="2" s="1"/>
  <c r="L32" i="2"/>
  <c r="M32" i="2" s="1"/>
  <c r="R32" i="2" s="1"/>
  <c r="L33" i="2"/>
  <c r="M33" i="2" s="1"/>
  <c r="R33" i="2" s="1"/>
  <c r="L34" i="2"/>
  <c r="M34" i="2" s="1"/>
  <c r="R34" i="2" s="1"/>
  <c r="L35" i="2"/>
  <c r="Q35" i="2" s="1"/>
  <c r="L36" i="2"/>
  <c r="Q36" i="2" s="1"/>
  <c r="L37" i="2"/>
  <c r="M37" i="2" s="1"/>
  <c r="R37" i="2" s="1"/>
  <c r="L38" i="2"/>
  <c r="M38" i="2" s="1"/>
  <c r="R38" i="2" s="1"/>
  <c r="L39" i="2"/>
  <c r="M39" i="2" s="1"/>
  <c r="R39" i="2" s="1"/>
  <c r="L40" i="2"/>
  <c r="M40" i="2" s="1"/>
  <c r="R40" i="2" s="1"/>
  <c r="L41" i="2"/>
  <c r="M41" i="2" s="1"/>
  <c r="R41" i="2" s="1"/>
  <c r="L42" i="2"/>
  <c r="M42" i="2" s="1"/>
  <c r="R42" i="2" s="1"/>
  <c r="L43" i="2"/>
  <c r="M43" i="2" s="1"/>
  <c r="R43" i="2" s="1"/>
  <c r="L44" i="2"/>
  <c r="M44" i="2" s="1"/>
  <c r="R44" i="2" s="1"/>
  <c r="L45" i="2"/>
  <c r="M45" i="2" s="1"/>
  <c r="R45" i="2" s="1"/>
  <c r="L46" i="2"/>
  <c r="M46" i="2" s="1"/>
  <c r="R46" i="2" s="1"/>
  <c r="L47" i="2"/>
  <c r="M47" i="2" s="1"/>
  <c r="R47" i="2" s="1"/>
  <c r="L48" i="2"/>
  <c r="M48" i="2" s="1"/>
  <c r="R48" i="2" s="1"/>
  <c r="L49" i="2"/>
  <c r="M49" i="2" s="1"/>
  <c r="R49" i="2" s="1"/>
  <c r="L50" i="2"/>
  <c r="M50" i="2" s="1"/>
  <c r="R50" i="2" s="1"/>
  <c r="L51" i="2"/>
  <c r="M51" i="2" s="1"/>
  <c r="R51" i="2" s="1"/>
  <c r="L52" i="2"/>
  <c r="M52" i="2" s="1"/>
  <c r="R52" i="2" s="1"/>
  <c r="L53" i="2"/>
  <c r="M53" i="2" s="1"/>
  <c r="R53" i="2" s="1"/>
  <c r="L54" i="2"/>
  <c r="M54" i="2" s="1"/>
  <c r="R54" i="2" s="1"/>
  <c r="L55" i="2"/>
  <c r="M55" i="2" s="1"/>
  <c r="R55" i="2" s="1"/>
  <c r="L56" i="2"/>
  <c r="M56" i="2" s="1"/>
  <c r="R56" i="2" s="1"/>
  <c r="L57" i="2"/>
  <c r="M57" i="2" s="1"/>
  <c r="R57" i="2" s="1"/>
  <c r="L58" i="2"/>
  <c r="M58" i="2" s="1"/>
  <c r="R58" i="2" s="1"/>
  <c r="L59" i="2"/>
  <c r="M59" i="2" s="1"/>
  <c r="R59" i="2" s="1"/>
  <c r="L60" i="2"/>
  <c r="M60" i="2" s="1"/>
  <c r="R60" i="2" s="1"/>
  <c r="L61" i="2"/>
  <c r="M61" i="2" s="1"/>
  <c r="R61" i="2" s="1"/>
  <c r="L62" i="2"/>
  <c r="M62" i="2" s="1"/>
  <c r="R62" i="2" s="1"/>
  <c r="L63" i="2"/>
  <c r="M63" i="2" s="1"/>
  <c r="R63" i="2" s="1"/>
  <c r="L64" i="2"/>
  <c r="M64" i="2" s="1"/>
  <c r="R64" i="2" s="1"/>
  <c r="L65" i="2"/>
  <c r="M65" i="2" s="1"/>
  <c r="R65" i="2" s="1"/>
  <c r="L66" i="2"/>
  <c r="M66" i="2" s="1"/>
  <c r="R66" i="2" s="1"/>
  <c r="L67" i="2"/>
  <c r="M67" i="2" s="1"/>
  <c r="R67" i="2" s="1"/>
  <c r="L68" i="2"/>
  <c r="M68" i="2" s="1"/>
  <c r="R68" i="2" s="1"/>
  <c r="L69" i="2"/>
  <c r="M69" i="2" s="1"/>
  <c r="R69" i="2" s="1"/>
  <c r="L70" i="2"/>
  <c r="M70" i="2" s="1"/>
  <c r="R70" i="2" s="1"/>
  <c r="L71" i="2"/>
  <c r="M71" i="2" s="1"/>
  <c r="R71" i="2" s="1"/>
  <c r="L72" i="2"/>
  <c r="M72" i="2" s="1"/>
  <c r="R72" i="2" s="1"/>
  <c r="L73" i="2"/>
  <c r="M73" i="2" s="1"/>
  <c r="R73" i="2" s="1"/>
  <c r="L74" i="2"/>
  <c r="M74" i="2" s="1"/>
  <c r="R74" i="2" s="1"/>
  <c r="L75" i="2"/>
  <c r="M75" i="2" s="1"/>
  <c r="R75" i="2" s="1"/>
  <c r="L76" i="2"/>
  <c r="M76" i="2" s="1"/>
  <c r="R76" i="2" s="1"/>
  <c r="L77" i="2"/>
  <c r="M77" i="2" s="1"/>
  <c r="R77" i="2" s="1"/>
  <c r="L78" i="2"/>
  <c r="M78" i="2" s="1"/>
  <c r="R78" i="2" s="1"/>
  <c r="L79" i="2"/>
  <c r="M79" i="2" s="1"/>
  <c r="R79" i="2" s="1"/>
  <c r="L80" i="2"/>
  <c r="M80" i="2" s="1"/>
  <c r="R80" i="2" s="1"/>
  <c r="L81" i="2"/>
  <c r="M81" i="2" s="1"/>
  <c r="R81" i="2" s="1"/>
  <c r="L82" i="2"/>
  <c r="M82" i="2" s="1"/>
  <c r="R82" i="2" s="1"/>
  <c r="L83" i="2"/>
  <c r="Q83" i="2" s="1"/>
  <c r="L84" i="2"/>
  <c r="M84" i="2" s="1"/>
  <c r="R84" i="2" s="1"/>
  <c r="L85" i="2"/>
  <c r="M85" i="2" s="1"/>
  <c r="R85" i="2" s="1"/>
  <c r="L86" i="2"/>
  <c r="M86" i="2" s="1"/>
  <c r="R86" i="2" s="1"/>
  <c r="L87" i="2"/>
  <c r="M87" i="2" s="1"/>
  <c r="R87" i="2" s="1"/>
  <c r="L88" i="2"/>
  <c r="M88" i="2" s="1"/>
  <c r="R88" i="2" s="1"/>
  <c r="L89" i="2"/>
  <c r="M89" i="2" s="1"/>
  <c r="R89" i="2" s="1"/>
  <c r="L90" i="2"/>
  <c r="M90" i="2" s="1"/>
  <c r="R90" i="2" s="1"/>
  <c r="L91" i="2"/>
  <c r="M91" i="2" s="1"/>
  <c r="R91" i="2" s="1"/>
  <c r="L92" i="2"/>
  <c r="M92" i="2" s="1"/>
  <c r="R92" i="2" s="1"/>
  <c r="L93" i="2"/>
  <c r="M93" i="2" s="1"/>
  <c r="R93" i="2" s="1"/>
  <c r="L94" i="2"/>
  <c r="M94" i="2" s="1"/>
  <c r="R94" i="2" s="1"/>
  <c r="L95" i="2"/>
  <c r="M95" i="2" s="1"/>
  <c r="R95" i="2" s="1"/>
  <c r="L96" i="2"/>
  <c r="M96" i="2" s="1"/>
  <c r="R96" i="2" s="1"/>
  <c r="L97" i="2"/>
  <c r="M97" i="2" s="1"/>
  <c r="R97" i="2" s="1"/>
  <c r="L98" i="2"/>
  <c r="M98" i="2" s="1"/>
  <c r="R98" i="2" s="1"/>
  <c r="L99" i="2"/>
  <c r="Q99" i="2" s="1"/>
  <c r="L100" i="2"/>
  <c r="M100" i="2" s="1"/>
  <c r="R100" i="2" s="1"/>
  <c r="L101" i="2"/>
  <c r="M101" i="2" s="1"/>
  <c r="R101" i="2" s="1"/>
  <c r="L102" i="2"/>
  <c r="M102" i="2" s="1"/>
  <c r="R102" i="2" s="1"/>
  <c r="L103" i="2"/>
  <c r="M103" i="2" s="1"/>
  <c r="R103" i="2" s="1"/>
  <c r="L104" i="2"/>
  <c r="M104" i="2" s="1"/>
  <c r="R104" i="2" s="1"/>
  <c r="L105" i="2"/>
  <c r="M105" i="2" s="1"/>
  <c r="R105" i="2" s="1"/>
  <c r="L106" i="2"/>
  <c r="M106" i="2" s="1"/>
  <c r="R106" i="2" s="1"/>
  <c r="L107" i="2"/>
  <c r="M107" i="2" s="1"/>
  <c r="R107" i="2" s="1"/>
  <c r="L108" i="2"/>
  <c r="M108" i="2" s="1"/>
  <c r="R108" i="2" s="1"/>
  <c r="L109" i="2"/>
  <c r="M109" i="2" s="1"/>
  <c r="R109" i="2" s="1"/>
  <c r="L110" i="2"/>
  <c r="M110" i="2" s="1"/>
  <c r="R110" i="2" s="1"/>
  <c r="L111" i="2"/>
  <c r="M111" i="2" s="1"/>
  <c r="R111" i="2" s="1"/>
  <c r="L112" i="2"/>
  <c r="M112" i="2" s="1"/>
  <c r="R112" i="2" s="1"/>
  <c r="L113" i="2"/>
  <c r="M113" i="2" s="1"/>
  <c r="R113" i="2" s="1"/>
  <c r="L114" i="2"/>
  <c r="M114" i="2" s="1"/>
  <c r="R114" i="2" s="1"/>
  <c r="L115" i="2"/>
  <c r="M115" i="2" s="1"/>
  <c r="R115" i="2" s="1"/>
  <c r="L116" i="2"/>
  <c r="M116" i="2" s="1"/>
  <c r="R116" i="2" s="1"/>
  <c r="L117" i="2"/>
  <c r="M117" i="2" s="1"/>
  <c r="R117" i="2" s="1"/>
  <c r="L118" i="2"/>
  <c r="M118" i="2" s="1"/>
  <c r="R118" i="2" s="1"/>
  <c r="L119" i="2"/>
  <c r="M119" i="2" s="1"/>
  <c r="R119" i="2" s="1"/>
  <c r="L120" i="2"/>
  <c r="M120" i="2" s="1"/>
  <c r="R120" i="2" s="1"/>
  <c r="L121" i="2"/>
  <c r="M121" i="2" s="1"/>
  <c r="R121" i="2" s="1"/>
  <c r="L122" i="2"/>
  <c r="M122" i="2" s="1"/>
  <c r="R122" i="2" s="1"/>
  <c r="L123" i="2"/>
  <c r="M123" i="2" s="1"/>
  <c r="R123" i="2" s="1"/>
  <c r="L124" i="2"/>
  <c r="M124" i="2" s="1"/>
  <c r="R124" i="2" s="1"/>
  <c r="L125" i="2"/>
  <c r="M125" i="2" s="1"/>
  <c r="R125" i="2" s="1"/>
  <c r="L126" i="2"/>
  <c r="M126" i="2" s="1"/>
  <c r="R126" i="2" s="1"/>
  <c r="L127" i="2"/>
  <c r="M127" i="2" s="1"/>
  <c r="R127" i="2" s="1"/>
  <c r="L128" i="2"/>
  <c r="M128" i="2" s="1"/>
  <c r="R128" i="2" s="1"/>
  <c r="L129" i="2"/>
  <c r="M129" i="2" s="1"/>
  <c r="R129" i="2" s="1"/>
  <c r="L130" i="2"/>
  <c r="M130" i="2" s="1"/>
  <c r="R130" i="2" s="1"/>
  <c r="L131" i="2"/>
  <c r="M131" i="2" s="1"/>
  <c r="R131" i="2" s="1"/>
  <c r="L132" i="2"/>
  <c r="M132" i="2" s="1"/>
  <c r="R132" i="2" s="1"/>
  <c r="L133" i="2"/>
  <c r="M133" i="2" s="1"/>
  <c r="R133" i="2" s="1"/>
  <c r="L134" i="2"/>
  <c r="M134" i="2" s="1"/>
  <c r="R134" i="2" s="1"/>
  <c r="L135" i="2"/>
  <c r="M135" i="2" s="1"/>
  <c r="R135" i="2" s="1"/>
  <c r="L136" i="2"/>
  <c r="M136" i="2" s="1"/>
  <c r="R136" i="2" s="1"/>
  <c r="L137" i="2"/>
  <c r="M137" i="2" s="1"/>
  <c r="R137" i="2" s="1"/>
  <c r="L138" i="2"/>
  <c r="M138" i="2" s="1"/>
  <c r="R138" i="2" s="1"/>
  <c r="L139" i="2"/>
  <c r="M139" i="2" s="1"/>
  <c r="R139" i="2" s="1"/>
  <c r="L140" i="2"/>
  <c r="M140" i="2" s="1"/>
  <c r="R140" i="2" s="1"/>
  <c r="L141" i="2"/>
  <c r="M141" i="2" s="1"/>
  <c r="R141" i="2" s="1"/>
  <c r="L142" i="2"/>
  <c r="M142" i="2" s="1"/>
  <c r="R142" i="2" s="1"/>
  <c r="L143" i="2"/>
  <c r="M143" i="2" s="1"/>
  <c r="R143" i="2" s="1"/>
  <c r="L144" i="2"/>
  <c r="M144" i="2" s="1"/>
  <c r="R144" i="2" s="1"/>
  <c r="L145" i="2"/>
  <c r="M145" i="2" s="1"/>
  <c r="R145" i="2" s="1"/>
  <c r="L146" i="2"/>
  <c r="Q146" i="2" s="1"/>
  <c r="L147" i="2"/>
  <c r="Q147" i="2" s="1"/>
  <c r="L148" i="2"/>
  <c r="M148" i="2" s="1"/>
  <c r="R148" i="2" s="1"/>
  <c r="L149" i="2"/>
  <c r="M149" i="2" s="1"/>
  <c r="R149" i="2" s="1"/>
  <c r="L150" i="2"/>
  <c r="M150" i="2" s="1"/>
  <c r="R150" i="2" s="1"/>
  <c r="L151" i="2"/>
  <c r="M151" i="2" s="1"/>
  <c r="R151" i="2" s="1"/>
  <c r="L152" i="2"/>
  <c r="M152" i="2" s="1"/>
  <c r="R152" i="2" s="1"/>
  <c r="L153" i="2"/>
  <c r="M153" i="2" s="1"/>
  <c r="R153" i="2" s="1"/>
  <c r="L154" i="2"/>
  <c r="M154" i="2" s="1"/>
  <c r="R154" i="2" s="1"/>
  <c r="L155" i="2"/>
  <c r="M155" i="2" s="1"/>
  <c r="R155" i="2" s="1"/>
  <c r="L156" i="2"/>
  <c r="M156" i="2" s="1"/>
  <c r="R156" i="2" s="1"/>
  <c r="L157" i="2"/>
  <c r="M157" i="2" s="1"/>
  <c r="R157" i="2" s="1"/>
  <c r="L158" i="2"/>
  <c r="M158" i="2" s="1"/>
  <c r="R158" i="2" s="1"/>
  <c r="L159" i="2"/>
  <c r="M159" i="2" s="1"/>
  <c r="R159" i="2" s="1"/>
  <c r="L160" i="2"/>
  <c r="M160" i="2" s="1"/>
  <c r="R160" i="2" s="1"/>
  <c r="L161" i="2"/>
  <c r="M161" i="2" s="1"/>
  <c r="R161" i="2" s="1"/>
  <c r="L162" i="2"/>
  <c r="M162" i="2" s="1"/>
  <c r="R162" i="2" s="1"/>
  <c r="L163" i="2"/>
  <c r="M163" i="2" s="1"/>
  <c r="R163" i="2" s="1"/>
  <c r="L164" i="2"/>
  <c r="M164" i="2" s="1"/>
  <c r="R164" i="2" s="1"/>
  <c r="L165" i="2"/>
  <c r="M165" i="2" s="1"/>
  <c r="R165" i="2" s="1"/>
  <c r="L166" i="2"/>
  <c r="M166" i="2" s="1"/>
  <c r="R166" i="2" s="1"/>
  <c r="L167" i="2"/>
  <c r="M167" i="2" s="1"/>
  <c r="R167" i="2" s="1"/>
  <c r="L168" i="2"/>
  <c r="M168" i="2" s="1"/>
  <c r="R168" i="2" s="1"/>
  <c r="L169" i="2"/>
  <c r="M169" i="2" s="1"/>
  <c r="R169" i="2" s="1"/>
  <c r="L170" i="2"/>
  <c r="M170" i="2" s="1"/>
  <c r="R170" i="2" s="1"/>
  <c r="L171" i="2"/>
  <c r="M171" i="2" s="1"/>
  <c r="R171" i="2" s="1"/>
  <c r="L172" i="2"/>
  <c r="M172" i="2" s="1"/>
  <c r="R172" i="2" s="1"/>
  <c r="L173" i="2"/>
  <c r="M173" i="2" s="1"/>
  <c r="R173" i="2" s="1"/>
  <c r="L174" i="2"/>
  <c r="M174" i="2" s="1"/>
  <c r="R174" i="2" s="1"/>
  <c r="L175" i="2"/>
  <c r="M175" i="2" s="1"/>
  <c r="R175" i="2" s="1"/>
  <c r="L176" i="2"/>
  <c r="M176" i="2" s="1"/>
  <c r="R176" i="2" s="1"/>
  <c r="L177" i="2"/>
  <c r="M177" i="2" s="1"/>
  <c r="R177" i="2" s="1"/>
  <c r="L178" i="2"/>
  <c r="M178" i="2" s="1"/>
  <c r="R178" i="2" s="1"/>
  <c r="L179" i="2"/>
  <c r="M179" i="2" s="1"/>
  <c r="R179" i="2" s="1"/>
  <c r="L180" i="2"/>
  <c r="M180" i="2" s="1"/>
  <c r="R180" i="2" s="1"/>
  <c r="L181" i="2"/>
  <c r="M181" i="2" s="1"/>
  <c r="R181" i="2" s="1"/>
  <c r="L182" i="2"/>
  <c r="M182" i="2" s="1"/>
  <c r="R182" i="2" s="1"/>
  <c r="L183" i="2"/>
  <c r="M183" i="2" s="1"/>
  <c r="R183" i="2" s="1"/>
  <c r="L184" i="2"/>
  <c r="M184" i="2" s="1"/>
  <c r="R184" i="2" s="1"/>
  <c r="L185" i="2"/>
  <c r="M185" i="2" s="1"/>
  <c r="R185" i="2" s="1"/>
  <c r="L186" i="2"/>
  <c r="M186" i="2" s="1"/>
  <c r="R186" i="2" s="1"/>
  <c r="L187" i="2"/>
  <c r="M187" i="2" s="1"/>
  <c r="R187" i="2" s="1"/>
  <c r="L188" i="2"/>
  <c r="M188" i="2" s="1"/>
  <c r="R188" i="2" s="1"/>
  <c r="P38" i="3"/>
  <c r="P36" i="3"/>
  <c r="U4" i="3"/>
  <c r="U5" i="3"/>
  <c r="U6" i="3"/>
  <c r="U7" i="3"/>
  <c r="U3" i="3"/>
  <c r="T4" i="3"/>
  <c r="T5" i="3"/>
  <c r="T6" i="3"/>
  <c r="T7" i="3"/>
  <c r="T3" i="3"/>
  <c r="K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U1" i="3"/>
  <c r="I3" i="10"/>
  <c r="M9" i="10" l="1"/>
  <c r="J11" i="9"/>
  <c r="J13" i="9"/>
  <c r="Q188" i="2"/>
  <c r="Q180" i="2"/>
  <c r="Q172" i="2"/>
  <c r="Q164" i="2"/>
  <c r="Q156" i="2"/>
  <c r="Q148" i="2"/>
  <c r="Q140" i="2"/>
  <c r="Q132" i="2"/>
  <c r="Q124" i="2"/>
  <c r="Q116" i="2"/>
  <c r="Q108" i="2"/>
  <c r="Q100" i="2"/>
  <c r="Q92" i="2"/>
  <c r="Q84" i="2"/>
  <c r="Q76" i="2"/>
  <c r="Q68" i="2"/>
  <c r="Q60" i="2"/>
  <c r="Q52" i="2"/>
  <c r="Q44" i="2"/>
  <c r="Q28" i="2"/>
  <c r="Q20" i="2"/>
  <c r="Q12" i="2"/>
  <c r="Q4" i="2"/>
  <c r="Q187" i="2"/>
  <c r="Q179" i="2"/>
  <c r="Q171" i="2"/>
  <c r="Q163" i="2"/>
  <c r="Q155" i="2"/>
  <c r="Q139" i="2"/>
  <c r="Q131" i="2"/>
  <c r="Q123" i="2"/>
  <c r="Q115" i="2"/>
  <c r="Q107" i="2"/>
  <c r="Q91" i="2"/>
  <c r="Q75" i="2"/>
  <c r="Q67" i="2"/>
  <c r="Q59" i="2"/>
  <c r="Q51" i="2"/>
  <c r="Q43" i="2"/>
  <c r="Q27" i="2"/>
  <c r="Q19" i="2"/>
  <c r="Q11" i="2"/>
  <c r="Q3" i="2"/>
  <c r="Q186" i="2"/>
  <c r="Q178" i="2"/>
  <c r="Q170" i="2"/>
  <c r="Q162" i="2"/>
  <c r="Q154" i="2"/>
  <c r="Q138" i="2"/>
  <c r="Q130" i="2"/>
  <c r="Q122" i="2"/>
  <c r="Q114" i="2"/>
  <c r="Q106" i="2"/>
  <c r="Q98" i="2"/>
  <c r="Q90" i="2"/>
  <c r="Q82" i="2"/>
  <c r="Q74" i="2"/>
  <c r="Q66" i="2"/>
  <c r="Q58" i="2"/>
  <c r="Q50" i="2"/>
  <c r="Q42" i="2"/>
  <c r="Q34" i="2"/>
  <c r="Q26" i="2"/>
  <c r="Q18" i="2"/>
  <c r="Q10" i="2"/>
  <c r="Q2" i="2"/>
  <c r="Q185" i="2"/>
  <c r="Q177" i="2"/>
  <c r="Q169" i="2"/>
  <c r="Q161" i="2"/>
  <c r="Q153" i="2"/>
  <c r="Q145" i="2"/>
  <c r="Q137" i="2"/>
  <c r="Q129" i="2"/>
  <c r="Q121" i="2"/>
  <c r="Q113" i="2"/>
  <c r="Q105" i="2"/>
  <c r="Q97" i="2"/>
  <c r="Q89" i="2"/>
  <c r="Q81" i="2"/>
  <c r="Q73" i="2"/>
  <c r="Q65" i="2"/>
  <c r="Q57" i="2"/>
  <c r="Q49" i="2"/>
  <c r="Q41" i="2"/>
  <c r="Q33" i="2"/>
  <c r="Q25" i="2"/>
  <c r="Q17" i="2"/>
  <c r="Q9" i="2"/>
  <c r="Q184" i="2"/>
  <c r="Q176" i="2"/>
  <c r="Q168" i="2"/>
  <c r="Q160" i="2"/>
  <c r="Q152" i="2"/>
  <c r="Q144" i="2"/>
  <c r="Q136" i="2"/>
  <c r="Q128" i="2"/>
  <c r="Q120" i="2"/>
  <c r="Q112" i="2"/>
  <c r="Q104" i="2"/>
  <c r="Q96" i="2"/>
  <c r="Q88" i="2"/>
  <c r="Q80" i="2"/>
  <c r="Q72" i="2"/>
  <c r="Q64" i="2"/>
  <c r="Q56" i="2"/>
  <c r="Q48" i="2"/>
  <c r="Q40" i="2"/>
  <c r="Q32" i="2"/>
  <c r="Q24" i="2"/>
  <c r="Q16" i="2"/>
  <c r="Q8" i="2"/>
  <c r="Q183" i="2"/>
  <c r="Q175" i="2"/>
  <c r="Q167" i="2"/>
  <c r="Q159" i="2"/>
  <c r="Q151" i="2"/>
  <c r="Q143" i="2"/>
  <c r="Q135" i="2"/>
  <c r="Q127" i="2"/>
  <c r="Q119" i="2"/>
  <c r="Q111" i="2"/>
  <c r="Q103" i="2"/>
  <c r="Q95" i="2"/>
  <c r="Q87" i="2"/>
  <c r="Q79" i="2"/>
  <c r="Q71" i="2"/>
  <c r="Q63" i="2"/>
  <c r="Q55" i="2"/>
  <c r="Q47" i="2"/>
  <c r="Q39" i="2"/>
  <c r="Q31" i="2"/>
  <c r="Q23" i="2"/>
  <c r="Q15" i="2"/>
  <c r="Q7" i="2"/>
  <c r="Q182" i="2"/>
  <c r="Q174" i="2"/>
  <c r="Q166" i="2"/>
  <c r="Q158" i="2"/>
  <c r="Q150" i="2"/>
  <c r="Q142" i="2"/>
  <c r="Q134" i="2"/>
  <c r="Q126" i="2"/>
  <c r="Q118" i="2"/>
  <c r="Q110" i="2"/>
  <c r="Q102" i="2"/>
  <c r="Q94" i="2"/>
  <c r="Q86" i="2"/>
  <c r="Q78" i="2"/>
  <c r="Q70" i="2"/>
  <c r="Q62" i="2"/>
  <c r="Q54" i="2"/>
  <c r="Q46" i="2"/>
  <c r="Q38" i="2"/>
  <c r="Q30" i="2"/>
  <c r="Q22" i="2"/>
  <c r="Q14" i="2"/>
  <c r="Q6" i="2"/>
  <c r="Q181" i="2"/>
  <c r="Q173" i="2"/>
  <c r="Q165" i="2"/>
  <c r="Q157" i="2"/>
  <c r="Q149" i="2"/>
  <c r="Q141" i="2"/>
  <c r="Q133" i="2"/>
  <c r="Q125" i="2"/>
  <c r="Q117" i="2"/>
  <c r="Q109" i="2"/>
  <c r="Q101" i="2"/>
  <c r="Q93" i="2"/>
  <c r="Q85" i="2"/>
  <c r="Q77" i="2"/>
  <c r="Q69" i="2"/>
  <c r="Q61" i="2"/>
  <c r="Q53" i="2"/>
  <c r="Q45" i="2"/>
  <c r="Q37" i="2"/>
  <c r="Q29" i="2"/>
  <c r="Q21" i="2"/>
  <c r="Q13" i="2"/>
  <c r="Q5" i="2"/>
  <c r="E19" i="6"/>
  <c r="H19" i="6" s="1"/>
  <c r="G19" i="6"/>
  <c r="E5" i="6"/>
  <c r="H5" i="6" s="1"/>
  <c r="G5" i="6"/>
  <c r="G16" i="6"/>
  <c r="E14" i="6"/>
  <c r="H14" i="6" s="1"/>
  <c r="G14" i="6"/>
  <c r="G11" i="6"/>
  <c r="G4" i="6"/>
  <c r="G6" i="6"/>
  <c r="G21" i="6"/>
  <c r="G12" i="6"/>
  <c r="G10" i="6"/>
  <c r="G13" i="6"/>
  <c r="G7" i="6"/>
  <c r="G22" i="6"/>
  <c r="G9" i="6"/>
  <c r="G8" i="6"/>
  <c r="G20" i="6"/>
  <c r="G15" i="6"/>
  <c r="G3" i="6"/>
  <c r="G18" i="6"/>
  <c r="G17" i="6"/>
  <c r="G2" i="6"/>
  <c r="O53" i="2"/>
  <c r="O149" i="2"/>
  <c r="O21" i="2"/>
  <c r="O181" i="2"/>
  <c r="O157" i="2"/>
  <c r="O29" i="2"/>
  <c r="O125" i="2"/>
  <c r="O117" i="2"/>
  <c r="O93" i="2"/>
  <c r="O85" i="2"/>
  <c r="O61" i="2"/>
  <c r="O176" i="2"/>
  <c r="O144" i="2"/>
  <c r="O112" i="2"/>
  <c r="O80" i="2"/>
  <c r="O48" i="2"/>
  <c r="O16" i="2"/>
  <c r="O173" i="2"/>
  <c r="O141" i="2"/>
  <c r="O109" i="2"/>
  <c r="O77" i="2"/>
  <c r="O45" i="2"/>
  <c r="O13" i="2"/>
  <c r="O168" i="2"/>
  <c r="O136" i="2"/>
  <c r="O104" i="2"/>
  <c r="O72" i="2"/>
  <c r="O40" i="2"/>
  <c r="O8" i="2"/>
  <c r="O165" i="2"/>
  <c r="O133" i="2"/>
  <c r="O101" i="2"/>
  <c r="O69" i="2"/>
  <c r="O37" i="2"/>
  <c r="O163" i="2"/>
  <c r="O160" i="2"/>
  <c r="O128" i="2"/>
  <c r="O96" i="2"/>
  <c r="O64" i="2"/>
  <c r="O32" i="2"/>
  <c r="O19" i="2"/>
  <c r="O82" i="2"/>
  <c r="O42" i="2"/>
  <c r="O184" i="2"/>
  <c r="O152" i="2"/>
  <c r="O120" i="2"/>
  <c r="O88" i="2"/>
  <c r="O56" i="2"/>
  <c r="O24" i="2"/>
  <c r="M147" i="2"/>
  <c r="M99" i="2"/>
  <c r="M36" i="2"/>
  <c r="O188" i="2"/>
  <c r="O180" i="2"/>
  <c r="O172" i="2"/>
  <c r="O164" i="2"/>
  <c r="O156" i="2"/>
  <c r="O148" i="2"/>
  <c r="O140" i="2"/>
  <c r="O132" i="2"/>
  <c r="O124" i="2"/>
  <c r="O116" i="2"/>
  <c r="O108" i="2"/>
  <c r="O100" i="2"/>
  <c r="O92" i="2"/>
  <c r="O84" i="2"/>
  <c r="O76" i="2"/>
  <c r="O68" i="2"/>
  <c r="O60" i="2"/>
  <c r="O52" i="2"/>
  <c r="O44" i="2"/>
  <c r="O28" i="2"/>
  <c r="O20" i="2"/>
  <c r="O12" i="2"/>
  <c r="O4" i="2"/>
  <c r="M146" i="2"/>
  <c r="M83" i="2"/>
  <c r="M35" i="2"/>
  <c r="O187" i="2"/>
  <c r="O179" i="2"/>
  <c r="O171" i="2"/>
  <c r="O155" i="2"/>
  <c r="O139" i="2"/>
  <c r="O131" i="2"/>
  <c r="O123" i="2"/>
  <c r="O115" i="2"/>
  <c r="O107" i="2"/>
  <c r="O91" i="2"/>
  <c r="O75" i="2"/>
  <c r="O67" i="2"/>
  <c r="O59" i="2"/>
  <c r="O51" i="2"/>
  <c r="O43" i="2"/>
  <c r="O27" i="2"/>
  <c r="O11" i="2"/>
  <c r="O3" i="2"/>
  <c r="O186" i="2"/>
  <c r="O178" i="2"/>
  <c r="O170" i="2"/>
  <c r="O162" i="2"/>
  <c r="O154" i="2"/>
  <c r="O138" i="2"/>
  <c r="O130" i="2"/>
  <c r="O122" i="2"/>
  <c r="O114" i="2"/>
  <c r="O106" i="2"/>
  <c r="O98" i="2"/>
  <c r="O90" i="2"/>
  <c r="O74" i="2"/>
  <c r="O66" i="2"/>
  <c r="O58" i="2"/>
  <c r="O50" i="2"/>
  <c r="O34" i="2"/>
  <c r="O26" i="2"/>
  <c r="O18" i="2"/>
  <c r="O10" i="2"/>
  <c r="O2" i="2"/>
  <c r="O185" i="2"/>
  <c r="O177" i="2"/>
  <c r="O169" i="2"/>
  <c r="O161" i="2"/>
  <c r="O153" i="2"/>
  <c r="O145" i="2"/>
  <c r="O137" i="2"/>
  <c r="O129" i="2"/>
  <c r="O121" i="2"/>
  <c r="O113" i="2"/>
  <c r="O105" i="2"/>
  <c r="O97" i="2"/>
  <c r="O89" i="2"/>
  <c r="O81" i="2"/>
  <c r="O73" i="2"/>
  <c r="O65" i="2"/>
  <c r="O57" i="2"/>
  <c r="O49" i="2"/>
  <c r="O41" i="2"/>
  <c r="O33" i="2"/>
  <c r="O25" i="2"/>
  <c r="O17" i="2"/>
  <c r="O9" i="2"/>
  <c r="O183" i="2"/>
  <c r="O175" i="2"/>
  <c r="O167" i="2"/>
  <c r="O159" i="2"/>
  <c r="O151" i="2"/>
  <c r="O143" i="2"/>
  <c r="O135" i="2"/>
  <c r="O127" i="2"/>
  <c r="O119" i="2"/>
  <c r="O111" i="2"/>
  <c r="O103" i="2"/>
  <c r="O95" i="2"/>
  <c r="O87" i="2"/>
  <c r="O79" i="2"/>
  <c r="O71" i="2"/>
  <c r="O63" i="2"/>
  <c r="O55" i="2"/>
  <c r="O47" i="2"/>
  <c r="O39" i="2"/>
  <c r="O31" i="2"/>
  <c r="O23" i="2"/>
  <c r="O15" i="2"/>
  <c r="O7" i="2"/>
  <c r="O182" i="2"/>
  <c r="O174" i="2"/>
  <c r="O166" i="2"/>
  <c r="O158" i="2"/>
  <c r="O150" i="2"/>
  <c r="O142" i="2"/>
  <c r="O134" i="2"/>
  <c r="O126" i="2"/>
  <c r="O118" i="2"/>
  <c r="O110" i="2"/>
  <c r="O102" i="2"/>
  <c r="O94" i="2"/>
  <c r="O86" i="2"/>
  <c r="O78" i="2"/>
  <c r="O70" i="2"/>
  <c r="O62" i="2"/>
  <c r="O54" i="2"/>
  <c r="O46" i="2"/>
  <c r="O38" i="2"/>
  <c r="O30" i="2"/>
  <c r="O22" i="2"/>
  <c r="O14" i="2"/>
  <c r="O6" i="2"/>
  <c r="O5" i="2"/>
  <c r="U8" i="3"/>
  <c r="O35" i="2" l="1"/>
  <c r="R35" i="2"/>
  <c r="O83" i="2"/>
  <c r="R83" i="2"/>
  <c r="O99" i="2"/>
  <c r="R99" i="2"/>
  <c r="O147" i="2"/>
  <c r="R147" i="2"/>
  <c r="O146" i="2"/>
  <c r="R146" i="2"/>
  <c r="O36" i="2"/>
  <c r="R36"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CDDE204-688B-4EC0-8840-DF1BDD1FB617}" keepAlive="1" name="Query - Cleaned_Data" description="Connection to the 'Cleaned_Data' query in the workbook." type="5" refreshedVersion="8" background="1" saveData="1">
    <dbPr connection="Provider=Microsoft.Mashup.OleDb.1;Data Source=$Workbook$;Location=Cleaned_Data;Extended Properties=&quot;&quot;" command="SELECT * FROM [Cleaned_Data]"/>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<sst xmlns="http://schemas.openxmlformats.org/spreadsheetml/2006/main" count="4076" uniqueCount="1310">
  <si>
    <t>Coin Name</t>
  </si>
  <si>
    <t>Symbol</t>
  </si>
  <si>
    <t>Price (USD)</t>
  </si>
  <si>
    <t>1h Change (%)</t>
  </si>
  <si>
    <t>Market Cap</t>
  </si>
  <si>
    <t>Volume (24h) USD</t>
  </si>
  <si>
    <t>Circulating Supply</t>
  </si>
  <si>
    <t>Bitcoin</t>
  </si>
  <si>
    <t>BTC</t>
  </si>
  <si>
    <t>$112,396.23</t>
  </si>
  <si>
    <t>0.68%</t>
  </si>
  <si>
    <t>$2,236,591,973,065</t>
  </si>
  <si>
    <t>$61,196,410,006</t>
  </si>
  <si>
    <t>19.91M</t>
  </si>
  <si>
    <t>Ethereum</t>
  </si>
  <si>
    <t>ETH</t>
  </si>
  <si>
    <t>$4,631.69</t>
  </si>
  <si>
    <t>0.43%</t>
  </si>
  <si>
    <t>$558,774,287,294</t>
  </si>
  <si>
    <t>$43,714,609,700</t>
  </si>
  <si>
    <t>120.7M</t>
  </si>
  <si>
    <t>XRP</t>
  </si>
  <si>
    <t>$3.02</t>
  </si>
  <si>
    <t>0.45%</t>
  </si>
  <si>
    <t>$179,761,935,139</t>
  </si>
  <si>
    <t>$6,447,508,710</t>
  </si>
  <si>
    <t>59.48B</t>
  </si>
  <si>
    <t>Tether</t>
  </si>
  <si>
    <t>USDT</t>
  </si>
  <si>
    <t>$1.00</t>
  </si>
  <si>
    <t>0.07%</t>
  </si>
  <si>
    <t>$167,211,922,205</t>
  </si>
  <si>
    <t>$117,252,093,277</t>
  </si>
  <si>
    <t>167.2B</t>
  </si>
  <si>
    <t>BNB</t>
  </si>
  <si>
    <t>$864.91</t>
  </si>
  <si>
    <t>0.24%</t>
  </si>
  <si>
    <t>$120,460,279,991</t>
  </si>
  <si>
    <t>$2,278,674,127</t>
  </si>
  <si>
    <t>139.28M</t>
  </si>
  <si>
    <t>Solana</t>
  </si>
  <si>
    <t>SOL</t>
  </si>
  <si>
    <t>$208.97</t>
  </si>
  <si>
    <t>0.78%</t>
  </si>
  <si>
    <t>$112,989,075,044</t>
  </si>
  <si>
    <t>$10,127,054,144</t>
  </si>
  <si>
    <t>540.67M</t>
  </si>
  <si>
    <t>USDC</t>
  </si>
  <si>
    <t>$0.9997</t>
  </si>
  <si>
    <t>0.06%</t>
  </si>
  <si>
    <t>$69,140,705,171</t>
  </si>
  <si>
    <t>$17,027,792,821</t>
  </si>
  <si>
    <t>69.15B</t>
  </si>
  <si>
    <t>Dogecoin</t>
  </si>
  <si>
    <t>DOGE</t>
  </si>
  <si>
    <t>$0.2217</t>
  </si>
  <si>
    <t>0.67%</t>
  </si>
  <si>
    <t>$33,418,883,909</t>
  </si>
  <si>
    <t>$1,961,967,012</t>
  </si>
  <si>
    <t>150.69B</t>
  </si>
  <si>
    <t>TRON</t>
  </si>
  <si>
    <t>TRX</t>
  </si>
  <si>
    <t>$0.3502</t>
  </si>
  <si>
    <t>0.10%</t>
  </si>
  <si>
    <t>$33,151,724,508</t>
  </si>
  <si>
    <t>$973,139,421</t>
  </si>
  <si>
    <t>94.66B</t>
  </si>
  <si>
    <t>Cardano</t>
  </si>
  <si>
    <t>ADA</t>
  </si>
  <si>
    <t>$0.8693</t>
  </si>
  <si>
    <t>0.32%</t>
  </si>
  <si>
    <t>$31,055,700,401</t>
  </si>
  <si>
    <t>$1,153,461,846</t>
  </si>
  <si>
    <t>35.72B</t>
  </si>
  <si>
    <t>Ripple USD</t>
  </si>
  <si>
    <t>RLUSD</t>
  </si>
  <si>
    <t>$0.9995</t>
  </si>
  <si>
    <t>0.01%</t>
  </si>
  <si>
    <t>$687,657,857</t>
  </si>
  <si>
    <t>$64,711,407</t>
  </si>
  <si>
    <t>687.95M</t>
  </si>
  <si>
    <t>Zcash</t>
  </si>
  <si>
    <t>ZEC</t>
  </si>
  <si>
    <t>$42.45</t>
  </si>
  <si>
    <t>0.80%</t>
  </si>
  <si>
    <t>$687,228,061</t>
  </si>
  <si>
    <t>$71,132,312</t>
  </si>
  <si>
    <t>16.18M</t>
  </si>
  <si>
    <t>AB</t>
  </si>
  <si>
    <t>$0.009181</t>
  </si>
  <si>
    <t>0.30%</t>
  </si>
  <si>
    <t>$683,949,558</t>
  </si>
  <si>
    <t>$29,038,108</t>
  </si>
  <si>
    <t>74.48B</t>
  </si>
  <si>
    <t>Pyth Network</t>
  </si>
  <si>
    <t>PYTH</t>
  </si>
  <si>
    <t>$0.1171</t>
  </si>
  <si>
    <t>0.52%</t>
  </si>
  <si>
    <t>$673,440,961</t>
  </si>
  <si>
    <t>$24,411,942</t>
  </si>
  <si>
    <t>5.74B</t>
  </si>
  <si>
    <t>BitTorrent [New]</t>
  </si>
  <si>
    <t>BTT</t>
  </si>
  <si>
    <t>$0.066662</t>
  </si>
  <si>
    <t>$656,968,217</t>
  </si>
  <si>
    <t>$29,706,225</t>
  </si>
  <si>
    <t>986.06T</t>
  </si>
  <si>
    <t>Flow</t>
  </si>
  <si>
    <t>FLOW</t>
  </si>
  <si>
    <t>$0.3909</t>
  </si>
  <si>
    <t>0.15%</t>
  </si>
  <si>
    <t>$626,962,319</t>
  </si>
  <si>
    <t>$21,684,159</t>
  </si>
  <si>
    <t>1.6B</t>
  </si>
  <si>
    <t>DeXe</t>
  </si>
  <si>
    <t>DEXE</t>
  </si>
  <si>
    <t>$7.42</t>
  </si>
  <si>
    <t>$621,864,440</t>
  </si>
  <si>
    <t>$7,491,105</t>
  </si>
  <si>
    <t>83.73M</t>
  </si>
  <si>
    <t>BUILDon</t>
  </si>
  <si>
    <t>B</t>
  </si>
  <si>
    <t>$0.5774</t>
  </si>
  <si>
    <t>0.11%</t>
  </si>
  <si>
    <t>$577,405,381</t>
  </si>
  <si>
    <t>$23,722,335</t>
  </si>
  <si>
    <t>1B</t>
  </si>
  <si>
    <t>Walrus</t>
  </si>
  <si>
    <t>WAL</t>
  </si>
  <si>
    <t>$0.4049</t>
  </si>
  <si>
    <t>0.33%</t>
  </si>
  <si>
    <t>$572,387,192</t>
  </si>
  <si>
    <t>$19,083,906</t>
  </si>
  <si>
    <t>1.41B</t>
  </si>
  <si>
    <t>Decentraland</t>
  </si>
  <si>
    <t>MANA</t>
  </si>
  <si>
    <t>$0.2882</t>
  </si>
  <si>
    <t>0.39%</t>
  </si>
  <si>
    <t>$567,782,071</t>
  </si>
  <si>
    <t>$27,296,450</t>
  </si>
  <si>
    <t>1.96B</t>
  </si>
  <si>
    <t>Fasttoken</t>
  </si>
  <si>
    <t>FTN</t>
  </si>
  <si>
    <t>$4.54</t>
  </si>
  <si>
    <t>0.04%</t>
  </si>
  <si>
    <t>$1,982,420,729</t>
  </si>
  <si>
    <t>$64,466,358</t>
  </si>
  <si>
    <t>436.26M</t>
  </si>
  <si>
    <t>Jupiter Perps LP</t>
  </si>
  <si>
    <t>JLP</t>
  </si>
  <si>
    <t>$5.48</t>
  </si>
  <si>
    <t>0.47%</t>
  </si>
  <si>
    <t>$1,955,931,785</t>
  </si>
  <si>
    <t>$26,985,300</t>
  </si>
  <si>
    <t>356.55M</t>
  </si>
  <si>
    <t>Falcon USD</t>
  </si>
  <si>
    <t>USDf</t>
  </si>
  <si>
    <t>0.02%</t>
  </si>
  <si>
    <t>$1,253,095,193</t>
  </si>
  <si>
    <t>$30,789,467</t>
  </si>
  <si>
    <t>1.25B</t>
  </si>
  <si>
    <t>Loaded Lions</t>
  </si>
  <si>
    <t>LION</t>
  </si>
  <si>
    <t>$0.02395</t>
  </si>
  <si>
    <t>0.22%</t>
  </si>
  <si>
    <t>$738,956,737</t>
  </si>
  <si>
    <t>$8,289,454</t>
  </si>
  <si>
    <t>30.84B</t>
  </si>
  <si>
    <t>Ondo US Dollar Yield</t>
  </si>
  <si>
    <t>USDY</t>
  </si>
  <si>
    <t>$1.10</t>
  </si>
  <si>
    <t>$691,597,867</t>
  </si>
  <si>
    <t>$1,338,625</t>
  </si>
  <si>
    <t>626.67M</t>
  </si>
  <si>
    <t>Usual USD</t>
  </si>
  <si>
    <t>USD0</t>
  </si>
  <si>
    <t>$0.9983</t>
  </si>
  <si>
    <t>0.00%</t>
  </si>
  <si>
    <t>$642,088,143</t>
  </si>
  <si>
    <t>$4,463,129</t>
  </si>
  <si>
    <t>643.12M</t>
  </si>
  <si>
    <t>Vision</t>
  </si>
  <si>
    <t>VSN</t>
  </si>
  <si>
    <t>$0.1745</t>
  </si>
  <si>
    <t>0.59%</t>
  </si>
  <si>
    <t>$607,020,903</t>
  </si>
  <si>
    <t>$1,377,265</t>
  </si>
  <si>
    <t>3.47B</t>
  </si>
  <si>
    <t>Beldex</t>
  </si>
  <si>
    <t>BDX</t>
  </si>
  <si>
    <t>$0.07629</t>
  </si>
  <si>
    <t>0.23%</t>
  </si>
  <si>
    <t>$545,355,889</t>
  </si>
  <si>
    <t>$4,396,792</t>
  </si>
  <si>
    <t>7.14B</t>
  </si>
  <si>
    <t>Global Dollar</t>
  </si>
  <si>
    <t>USDG</t>
  </si>
  <si>
    <t>$0.9998</t>
  </si>
  <si>
    <t>0.03%</t>
  </si>
  <si>
    <t>$538,269,461</t>
  </si>
  <si>
    <t>$5,715,956</t>
  </si>
  <si>
    <t>538.36M</t>
  </si>
  <si>
    <t>Zeebu</t>
  </si>
  <si>
    <t>ZBU</t>
  </si>
  <si>
    <t>$1.94</t>
  </si>
  <si>
    <t>0.16%</t>
  </si>
  <si>
    <t>$503,419,749</t>
  </si>
  <si>
    <t>$325,843</t>
  </si>
  <si>
    <t>258.97M</t>
  </si>
  <si>
    <t>WOO</t>
  </si>
  <si>
    <t>$0.07137</t>
  </si>
  <si>
    <t>$136,125,306</t>
  </si>
  <si>
    <t>$6,721,454</t>
  </si>
  <si>
    <t>1.9B</t>
  </si>
  <si>
    <t>Elixir deUSD</t>
  </si>
  <si>
    <t>DEUSD</t>
  </si>
  <si>
    <t>$132,578,463</t>
  </si>
  <si>
    <t>$343,471</t>
  </si>
  <si>
    <t>132.63M</t>
  </si>
  <si>
    <t>Yala</t>
  </si>
  <si>
    <t>YU</t>
  </si>
  <si>
    <t>$0.9996</t>
  </si>
  <si>
    <t>$131,915,058</t>
  </si>
  <si>
    <t>$1,092,882</t>
  </si>
  <si>
    <t>131.95M</t>
  </si>
  <si>
    <t>Polymesh</t>
  </si>
  <si>
    <t>POLYX</t>
  </si>
  <si>
    <t>$0.1332</t>
  </si>
  <si>
    <t>$131,880,666</t>
  </si>
  <si>
    <t>$2,531,201</t>
  </si>
  <si>
    <t>989.35M</t>
  </si>
  <si>
    <t>Aleo</t>
  </si>
  <si>
    <t>ALEO</t>
  </si>
  <si>
    <t>$0.2781</t>
  </si>
  <si>
    <t>1.31%</t>
  </si>
  <si>
    <t>$129,554,753</t>
  </si>
  <si>
    <t>$7,930,906</t>
  </si>
  <si>
    <t>465.83M</t>
  </si>
  <si>
    <t>AUSD</t>
  </si>
  <si>
    <t>$128,872,926</t>
  </si>
  <si>
    <t>$8,432,086</t>
  </si>
  <si>
    <t>128.9M</t>
  </si>
  <si>
    <t>Babylon</t>
  </si>
  <si>
    <t>BABY</t>
  </si>
  <si>
    <t>$0.04956</t>
  </si>
  <si>
    <t>0.50%</t>
  </si>
  <si>
    <t>$128,393,361</t>
  </si>
  <si>
    <t>$10,778,520</t>
  </si>
  <si>
    <t>2.59B</t>
  </si>
  <si>
    <t>Status</t>
  </si>
  <si>
    <t>SNT</t>
  </si>
  <si>
    <t>$0.02674</t>
  </si>
  <si>
    <t>0.05%</t>
  </si>
  <si>
    <t>$128,203,844</t>
  </si>
  <si>
    <t>$10,487,502</t>
  </si>
  <si>
    <t>4.79B</t>
  </si>
  <si>
    <t>Enjin Coin</t>
  </si>
  <si>
    <t>ENJ</t>
  </si>
  <si>
    <t>$0.06809</t>
  </si>
  <si>
    <t>$127,672,149</t>
  </si>
  <si>
    <t>$11,344,790</t>
  </si>
  <si>
    <t>1.87B</t>
  </si>
  <si>
    <t>Vana</t>
  </si>
  <si>
    <t>VANA</t>
  </si>
  <si>
    <t>$4.24</t>
  </si>
  <si>
    <t>0.19%</t>
  </si>
  <si>
    <t>$127,660,598</t>
  </si>
  <si>
    <t>$9,341,488</t>
  </si>
  <si>
    <t>30.08M</t>
  </si>
  <si>
    <t>Definitive</t>
  </si>
  <si>
    <t>EDGE</t>
  </si>
  <si>
    <t>$0.4326</t>
  </si>
  <si>
    <t>1.32%</t>
  </si>
  <si>
    <t>$87,828,987</t>
  </si>
  <si>
    <t>$9,141,404</t>
  </si>
  <si>
    <t>203.02M</t>
  </si>
  <si>
    <t>Apertum</t>
  </si>
  <si>
    <t>APTM</t>
  </si>
  <si>
    <t>$1.62</t>
  </si>
  <si>
    <t>$87,776,158</t>
  </si>
  <si>
    <t>$9,108,166</t>
  </si>
  <si>
    <t>54.05M</t>
  </si>
  <si>
    <t>Tokenlon Network Token</t>
  </si>
  <si>
    <t>LON</t>
  </si>
  <si>
    <t>$0.6995</t>
  </si>
  <si>
    <t>$86,786,092</t>
  </si>
  <si>
    <t>$24,699</t>
  </si>
  <si>
    <t>124.06M</t>
  </si>
  <si>
    <t>BIM</t>
  </si>
  <si>
    <t>$2.88</t>
  </si>
  <si>
    <t>0.13%</t>
  </si>
  <si>
    <t>$86,613,592</t>
  </si>
  <si>
    <t>$295,825</t>
  </si>
  <si>
    <t>30M</t>
  </si>
  <si>
    <t>Ardor</t>
  </si>
  <si>
    <t>ARDR</t>
  </si>
  <si>
    <t>$0.08647</t>
  </si>
  <si>
    <t>$86,345,798</t>
  </si>
  <si>
    <t>$4,522,686</t>
  </si>
  <si>
    <t>998.46M</t>
  </si>
  <si>
    <t>Audius</t>
  </si>
  <si>
    <t>AUDIO</t>
  </si>
  <si>
    <t>$0.06401</t>
  </si>
  <si>
    <t>$86,441,423</t>
  </si>
  <si>
    <t>$6,787,116</t>
  </si>
  <si>
    <t>1.35B</t>
  </si>
  <si>
    <t>Ark</t>
  </si>
  <si>
    <t>ARK</t>
  </si>
  <si>
    <t>$0.4504</t>
  </si>
  <si>
    <t>$85,996,731</t>
  </si>
  <si>
    <t>$4,342,188</t>
  </si>
  <si>
    <t>190.9M</t>
  </si>
  <si>
    <t>Goatseus Maximus</t>
  </si>
  <si>
    <t>GOAT</t>
  </si>
  <si>
    <t>$0.08568</t>
  </si>
  <si>
    <t>0.88%</t>
  </si>
  <si>
    <t>$85,680,579</t>
  </si>
  <si>
    <t>$14,947,172</t>
  </si>
  <si>
    <t>999.99M</t>
  </si>
  <si>
    <t>Comedian</t>
  </si>
  <si>
    <t>BAN</t>
  </si>
  <si>
    <t>$0.08543</t>
  </si>
  <si>
    <t>0.38%</t>
  </si>
  <si>
    <t>$85,436,011</t>
  </si>
  <si>
    <t>$10,238,715</t>
  </si>
  <si>
    <t>999.96M</t>
  </si>
  <si>
    <t>Wrapped ONUS</t>
  </si>
  <si>
    <t>WONUS</t>
  </si>
  <si>
    <t>$0.8861</t>
  </si>
  <si>
    <t>$84,791,103</t>
  </si>
  <si>
    <t>N/A</t>
  </si>
  <si>
    <t>95.68M</t>
  </si>
  <si>
    <t>Sophon</t>
  </si>
  <si>
    <t>SOPH</t>
  </si>
  <si>
    <t>$0.03141</t>
  </si>
  <si>
    <t>0.77%</t>
  </si>
  <si>
    <t>$62,836,837</t>
  </si>
  <si>
    <t>$13,787,251</t>
  </si>
  <si>
    <t>2B</t>
  </si>
  <si>
    <t>Metal DAO</t>
  </si>
  <si>
    <t>MTL</t>
  </si>
  <si>
    <t>$0.7292</t>
  </si>
  <si>
    <t>0.09%</t>
  </si>
  <si>
    <t>$62,825,935</t>
  </si>
  <si>
    <t>$1,249,114</t>
  </si>
  <si>
    <t>86.14M</t>
  </si>
  <si>
    <t>Celer Network</t>
  </si>
  <si>
    <t>CELR</t>
  </si>
  <si>
    <t>$0.008040</t>
  </si>
  <si>
    <t>$62,746,080</t>
  </si>
  <si>
    <t>$5,327,551</t>
  </si>
  <si>
    <t>7.8B</t>
  </si>
  <si>
    <t>ArchLoot</t>
  </si>
  <si>
    <t>AL</t>
  </si>
  <si>
    <t>$0.07982</t>
  </si>
  <si>
    <t>$62,547,790</t>
  </si>
  <si>
    <t>$9,047,350</t>
  </si>
  <si>
    <t>783.57M</t>
  </si>
  <si>
    <t>B3 (Base)</t>
  </si>
  <si>
    <t>B3</t>
  </si>
  <si>
    <t>$0.002927</t>
  </si>
  <si>
    <t>0.08%</t>
  </si>
  <si>
    <t>$62,328,087</t>
  </si>
  <si>
    <t>$2,058,149</t>
  </si>
  <si>
    <t>21.29B</t>
  </si>
  <si>
    <t>Tornado Cash</t>
  </si>
  <si>
    <t>TORN</t>
  </si>
  <si>
    <t>$11.79</t>
  </si>
  <si>
    <t>$62,064,898</t>
  </si>
  <si>
    <t>$76,515</t>
  </si>
  <si>
    <t>5.26M</t>
  </si>
  <si>
    <t>Polyhedra Network</t>
  </si>
  <si>
    <t>ZKJ</t>
  </si>
  <si>
    <t>$0.1816</t>
  </si>
  <si>
    <t>0.21%</t>
  </si>
  <si>
    <t>$61,786,840</t>
  </si>
  <si>
    <t>$8,267,657</t>
  </si>
  <si>
    <t>340.13M</t>
  </si>
  <si>
    <t>Bounce Token</t>
  </si>
  <si>
    <t>AUCTION</t>
  </si>
  <si>
    <t>$10.12</t>
  </si>
  <si>
    <t>$61,648,001</t>
  </si>
  <si>
    <t>$27,805,860</t>
  </si>
  <si>
    <t>6.09M</t>
  </si>
  <si>
    <t>Radix</t>
  </si>
  <si>
    <t>XRD</t>
  </si>
  <si>
    <t>$0.005210</t>
  </si>
  <si>
    <t>0.14%</t>
  </si>
  <si>
    <t>$61,619,476</t>
  </si>
  <si>
    <t>$213,098</t>
  </si>
  <si>
    <t>11.82B</t>
  </si>
  <si>
    <t>Gains Network</t>
  </si>
  <si>
    <t>GNS</t>
  </si>
  <si>
    <t>$2.17</t>
  </si>
  <si>
    <t>0.31%</t>
  </si>
  <si>
    <t>$61,481,343</t>
  </si>
  <si>
    <t>$2,564,140</t>
  </si>
  <si>
    <t>28.3M</t>
  </si>
  <si>
    <t>Quantum Resistant Ledger</t>
  </si>
  <si>
    <t>QRL</t>
  </si>
  <si>
    <t>$0.6727</t>
  </si>
  <si>
    <t>1.30%</t>
  </si>
  <si>
    <t>$45,704,968</t>
  </si>
  <si>
    <t>$35,491</t>
  </si>
  <si>
    <t>67.93M</t>
  </si>
  <si>
    <t>XYM</t>
  </si>
  <si>
    <t>$0.007354</t>
  </si>
  <si>
    <t>$45,421,680</t>
  </si>
  <si>
    <t>$758,766</t>
  </si>
  <si>
    <t>6.17B</t>
  </si>
  <si>
    <t>deBridge</t>
  </si>
  <si>
    <t>DBR</t>
  </si>
  <si>
    <t>$0.02359</t>
  </si>
  <si>
    <t>$45,403,740</t>
  </si>
  <si>
    <t>$10,853,972</t>
  </si>
  <si>
    <t>1.92B</t>
  </si>
  <si>
    <t>Origin Protocol</t>
  </si>
  <si>
    <t>OGN</t>
  </si>
  <si>
    <t>$0.06741</t>
  </si>
  <si>
    <t>1.19%</t>
  </si>
  <si>
    <t>$45,353,098</t>
  </si>
  <si>
    <t>$19,016,000</t>
  </si>
  <si>
    <t>672.7M</t>
  </si>
  <si>
    <t>Autonolas</t>
  </si>
  <si>
    <t>OLAS</t>
  </si>
  <si>
    <t>$0.2525</t>
  </si>
  <si>
    <t>$45,266,206</t>
  </si>
  <si>
    <t>$339,268</t>
  </si>
  <si>
    <t>179.2M</t>
  </si>
  <si>
    <t>Renzo</t>
  </si>
  <si>
    <t>REZ</t>
  </si>
  <si>
    <t>$0.01237</t>
  </si>
  <si>
    <t>$45,071,702</t>
  </si>
  <si>
    <t>$10,189,722</t>
  </si>
  <si>
    <t>3.64B</t>
  </si>
  <si>
    <t>PepeCoin</t>
  </si>
  <si>
    <t>PEPECOIN</t>
  </si>
  <si>
    <t>$0.4205</t>
  </si>
  <si>
    <t>$45,027,836</t>
  </si>
  <si>
    <t>$401,821</t>
  </si>
  <si>
    <t>107.05M</t>
  </si>
  <si>
    <t>Solend</t>
  </si>
  <si>
    <t>SLND</t>
  </si>
  <si>
    <t>$0.4502</t>
  </si>
  <si>
    <t>$44,873,234</t>
  </si>
  <si>
    <t>99.66M</t>
  </si>
  <si>
    <t>Vulcan Forged (PYR)</t>
  </si>
  <si>
    <t>PYR</t>
  </si>
  <si>
    <t>$1.01</t>
  </si>
  <si>
    <t>0.40%</t>
  </si>
  <si>
    <t>$44,872,405</t>
  </si>
  <si>
    <t>$10,068,683</t>
  </si>
  <si>
    <t>44.05M</t>
  </si>
  <si>
    <t>MetYa</t>
  </si>
  <si>
    <t>MET</t>
  </si>
  <si>
    <t>$0.2490</t>
  </si>
  <si>
    <t>$44,330,157</t>
  </si>
  <si>
    <t>$68,082,352</t>
  </si>
  <si>
    <t>177.96M</t>
  </si>
  <si>
    <t>MetFi</t>
  </si>
  <si>
    <t>METFI</t>
  </si>
  <si>
    <t>$0.1618</t>
  </si>
  <si>
    <t>$35,354,744</t>
  </si>
  <si>
    <t>$121,069</t>
  </si>
  <si>
    <t>218.43M</t>
  </si>
  <si>
    <t>YALA</t>
  </si>
  <si>
    <t>$0.1431</t>
  </si>
  <si>
    <t>0.79%</t>
  </si>
  <si>
    <t>$35,264,904</t>
  </si>
  <si>
    <t>$7,857,060</t>
  </si>
  <si>
    <t>246.36M</t>
  </si>
  <si>
    <t>Metadium</t>
  </si>
  <si>
    <t>META</t>
  </si>
  <si>
    <t>$0.02046</t>
  </si>
  <si>
    <t>0.12%</t>
  </si>
  <si>
    <t>$35,141,644</t>
  </si>
  <si>
    <t>$129,282</t>
  </si>
  <si>
    <t>1.71B</t>
  </si>
  <si>
    <t>Acala Token</t>
  </si>
  <si>
    <t>ACA</t>
  </si>
  <si>
    <t>$0.03011</t>
  </si>
  <si>
    <t>0.25%</t>
  </si>
  <si>
    <t>$35,138,416</t>
  </si>
  <si>
    <t>$5,538,677</t>
  </si>
  <si>
    <t>1.16B</t>
  </si>
  <si>
    <t>XION</t>
  </si>
  <si>
    <t>$0.8987</t>
  </si>
  <si>
    <t>0.90%</t>
  </si>
  <si>
    <t>$35,080,411</t>
  </si>
  <si>
    <t>$9,778,739</t>
  </si>
  <si>
    <t>39.03M</t>
  </si>
  <si>
    <t>Roam</t>
  </si>
  <si>
    <t>ROAM</t>
  </si>
  <si>
    <t>$0.1125</t>
  </si>
  <si>
    <t>0.66%</t>
  </si>
  <si>
    <t>$35,034,139</t>
  </si>
  <si>
    <t>$50,371,789</t>
  </si>
  <si>
    <t>311.3M</t>
  </si>
  <si>
    <t>Fuel Network</t>
  </si>
  <si>
    <t>FUEL</t>
  </si>
  <si>
    <t>$0.006097</t>
  </si>
  <si>
    <t>$34,972,612</t>
  </si>
  <si>
    <t>$1,391,859</t>
  </si>
  <si>
    <t>5.73B</t>
  </si>
  <si>
    <t>Ampleforth</t>
  </si>
  <si>
    <t>AMPL</t>
  </si>
  <si>
    <t>$1.23</t>
  </si>
  <si>
    <t>$34,798,359</t>
  </si>
  <si>
    <t>$75,600</t>
  </si>
  <si>
    <t>28.27M</t>
  </si>
  <si>
    <t>ARPA</t>
  </si>
  <si>
    <t>$0.02275</t>
  </si>
  <si>
    <t>$34,575,104</t>
  </si>
  <si>
    <t>$18,844,509</t>
  </si>
  <si>
    <t>1.51B</t>
  </si>
  <si>
    <t>Fair and Free</t>
  </si>
  <si>
    <t>FAIR3</t>
  </si>
  <si>
    <t>$0.03687</t>
  </si>
  <si>
    <t>0.72%</t>
  </si>
  <si>
    <t>$34,508,739</t>
  </si>
  <si>
    <t>$8,324,722</t>
  </si>
  <si>
    <t>935.81M</t>
  </si>
  <si>
    <t>XPLA</t>
  </si>
  <si>
    <t>$0.03186</t>
  </si>
  <si>
    <t>2.16%</t>
  </si>
  <si>
    <t>$26,070,319</t>
  </si>
  <si>
    <t>$467,706</t>
  </si>
  <si>
    <t>818.17M</t>
  </si>
  <si>
    <t>PlatON</t>
  </si>
  <si>
    <t>LAT</t>
  </si>
  <si>
    <t>$0.003897</t>
  </si>
  <si>
    <t>1.59%</t>
  </si>
  <si>
    <t>$26,014,561</t>
  </si>
  <si>
    <t>$6,727,701</t>
  </si>
  <si>
    <t>6.67B</t>
  </si>
  <si>
    <t>dYdX (ethDYDX)</t>
  </si>
  <si>
    <t>ETHDYDX</t>
  </si>
  <si>
    <t>$0.6222</t>
  </si>
  <si>
    <t>$25,922,954</t>
  </si>
  <si>
    <t>$9,982,050</t>
  </si>
  <si>
    <t>41.65M</t>
  </si>
  <si>
    <t>Build On BNB</t>
  </si>
  <si>
    <t>BOB</t>
  </si>
  <si>
    <t>$0.076150</t>
  </si>
  <si>
    <t>0.37%</t>
  </si>
  <si>
    <t>$25,873,467</t>
  </si>
  <si>
    <t>$11,510,400</t>
  </si>
  <si>
    <t>420.69T</t>
  </si>
  <si>
    <t>CLV</t>
  </si>
  <si>
    <t>$0.02106</t>
  </si>
  <si>
    <t>$25,788,064</t>
  </si>
  <si>
    <t>$1,225,263</t>
  </si>
  <si>
    <t>1.22B</t>
  </si>
  <si>
    <t>Kekius Maximus (kekiusmaximus.vip)</t>
  </si>
  <si>
    <t>KEKIUS</t>
  </si>
  <si>
    <t>$0.02575</t>
  </si>
  <si>
    <t>1.09%</t>
  </si>
  <si>
    <t>$25,759,341</t>
  </si>
  <si>
    <t>$2,642,277</t>
  </si>
  <si>
    <t>Alkimi</t>
  </si>
  <si>
    <t>ADS</t>
  </si>
  <si>
    <t>$0.1085</t>
  </si>
  <si>
    <t>$25,730,460</t>
  </si>
  <si>
    <t>$64,349</t>
  </si>
  <si>
    <t>236.99M</t>
  </si>
  <si>
    <t>CreatorBid</t>
  </si>
  <si>
    <t>BID</t>
  </si>
  <si>
    <t>$0.09556</t>
  </si>
  <si>
    <t>0.92%</t>
  </si>
  <si>
    <t>$25,696,932</t>
  </si>
  <si>
    <t>$1,704,625</t>
  </si>
  <si>
    <t>268.88M</t>
  </si>
  <si>
    <t>Moby</t>
  </si>
  <si>
    <t>MOBY</t>
  </si>
  <si>
    <t>$0.02550</t>
  </si>
  <si>
    <t>$25,507,544</t>
  </si>
  <si>
    <t>$5,524,554</t>
  </si>
  <si>
    <t>999.97M</t>
  </si>
  <si>
    <t>Agoras: Tau Net</t>
  </si>
  <si>
    <t>AGRS</t>
  </si>
  <si>
    <t>$0.8529</t>
  </si>
  <si>
    <t>$25,471,481</t>
  </si>
  <si>
    <t>$43,405</t>
  </si>
  <si>
    <t>29.86M</t>
  </si>
  <si>
    <t>ZUSD</t>
  </si>
  <si>
    <t>$0.9988</t>
  </si>
  <si>
    <t>$18,990,853</t>
  </si>
  <si>
    <t>$228,239</t>
  </si>
  <si>
    <t>19.01M</t>
  </si>
  <si>
    <t>Cross The Ages</t>
  </si>
  <si>
    <t>CTA</t>
  </si>
  <si>
    <t>$0.03792</t>
  </si>
  <si>
    <t>$18,961,083</t>
  </si>
  <si>
    <t>$706,323</t>
  </si>
  <si>
    <t>500M</t>
  </si>
  <si>
    <t>Amaterasu Omikami</t>
  </si>
  <si>
    <t>OMIKAMI</t>
  </si>
  <si>
    <t>$0.02001</t>
  </si>
  <si>
    <t>$18,957,669</t>
  </si>
  <si>
    <t>$357,326</t>
  </si>
  <si>
    <t>946.97M</t>
  </si>
  <si>
    <t>OLAXBT</t>
  </si>
  <si>
    <t>AIO</t>
  </si>
  <si>
    <t>$0.08172</t>
  </si>
  <si>
    <t>$18,817,231</t>
  </si>
  <si>
    <t>$5,622,803</t>
  </si>
  <si>
    <t>230.25M</t>
  </si>
  <si>
    <t>Games for a Living</t>
  </si>
  <si>
    <t>GFAL</t>
  </si>
  <si>
    <t>$0.005502</t>
  </si>
  <si>
    <t>1.06%</t>
  </si>
  <si>
    <t>$18,668,308</t>
  </si>
  <si>
    <t>$181,555</t>
  </si>
  <si>
    <t>3.39B</t>
  </si>
  <si>
    <t>Magpie</t>
  </si>
  <si>
    <t>MGP</t>
  </si>
  <si>
    <t>$0.03889</t>
  </si>
  <si>
    <t>$18,667,205</t>
  </si>
  <si>
    <t>$1,002</t>
  </si>
  <si>
    <t>479.99M</t>
  </si>
  <si>
    <t>Everscale</t>
  </si>
  <si>
    <t>EVER</t>
  </si>
  <si>
    <t>$0.009370</t>
  </si>
  <si>
    <t>$18,606,007</t>
  </si>
  <si>
    <t>$189,918</t>
  </si>
  <si>
    <t>1.98B</t>
  </si>
  <si>
    <t>Bulla</t>
  </si>
  <si>
    <t>BULLA</t>
  </si>
  <si>
    <t>$0.06639</t>
  </si>
  <si>
    <t>$18,591,856</t>
  </si>
  <si>
    <t>$4,765,140</t>
  </si>
  <si>
    <t>280M</t>
  </si>
  <si>
    <t>SIX Token</t>
  </si>
  <si>
    <t>SIX</t>
  </si>
  <si>
    <t>$0.02178</t>
  </si>
  <si>
    <t>$18,540,898</t>
  </si>
  <si>
    <t>$4,492,892</t>
  </si>
  <si>
    <t>850.96M</t>
  </si>
  <si>
    <t>AIHub</t>
  </si>
  <si>
    <t>AIH</t>
  </si>
  <si>
    <t>$16.85</t>
  </si>
  <si>
    <t>$18,536,240</t>
  </si>
  <si>
    <t>$119,734</t>
  </si>
  <si>
    <t>1.1M</t>
  </si>
  <si>
    <t>NodeOps</t>
  </si>
  <si>
    <t>NODE</t>
  </si>
  <si>
    <t>$0.1108</t>
  </si>
  <si>
    <t>1.04%</t>
  </si>
  <si>
    <t>$14,785,022</t>
  </si>
  <si>
    <t>$32,485,149</t>
  </si>
  <si>
    <t>133.39M</t>
  </si>
  <si>
    <t>GYEN</t>
  </si>
  <si>
    <t>$0.007013</t>
  </si>
  <si>
    <t>0.46%</t>
  </si>
  <si>
    <t>$14,719,301</t>
  </si>
  <si>
    <t>$138</t>
  </si>
  <si>
    <t>2.09B</t>
  </si>
  <si>
    <t>Rezor</t>
  </si>
  <si>
    <t>RZR</t>
  </si>
  <si>
    <t>$0.0003612</t>
  </si>
  <si>
    <t>$14,681,529</t>
  </si>
  <si>
    <t>$499,518</t>
  </si>
  <si>
    <t>40.64B</t>
  </si>
  <si>
    <t>Jerry The Turtle By Matt Furie</t>
  </si>
  <si>
    <t>JYAI</t>
  </si>
  <si>
    <t>$0.0002118</t>
  </si>
  <si>
    <t>$14,616,635</t>
  </si>
  <si>
    <t>$6,112,676</t>
  </si>
  <si>
    <t>69B</t>
  </si>
  <si>
    <t>pSTAKE Finance</t>
  </si>
  <si>
    <t>PSTAKE</t>
  </si>
  <si>
    <t>$0.03322</t>
  </si>
  <si>
    <t>$14,606,826</t>
  </si>
  <si>
    <t>$4,251,361</t>
  </si>
  <si>
    <t>439.65M</t>
  </si>
  <si>
    <t>Suku</t>
  </si>
  <si>
    <t>SUKU</t>
  </si>
  <si>
    <t>$0.02987</t>
  </si>
  <si>
    <t>$14,570,562</t>
  </si>
  <si>
    <t>$316,134</t>
  </si>
  <si>
    <t>487.69M</t>
  </si>
  <si>
    <t>Vita Inu</t>
  </si>
  <si>
    <t>VINU</t>
  </si>
  <si>
    <t>$0.071613</t>
  </si>
  <si>
    <t>0.41%</t>
  </si>
  <si>
    <t>$14,516,193</t>
  </si>
  <si>
    <t>$542,805</t>
  </si>
  <si>
    <t>899.59T</t>
  </si>
  <si>
    <t>Hosico</t>
  </si>
  <si>
    <t>HOSICO</t>
  </si>
  <si>
    <t>$0.01444</t>
  </si>
  <si>
    <t>$14,440,722</t>
  </si>
  <si>
    <t>$1,406,872</t>
  </si>
  <si>
    <t>Alvara Protocol</t>
  </si>
  <si>
    <t>ALVA</t>
  </si>
  <si>
    <t>$0.1963</t>
  </si>
  <si>
    <t>0.81%</t>
  </si>
  <si>
    <t>$14,425,837</t>
  </si>
  <si>
    <t>$686,075</t>
  </si>
  <si>
    <t>73.46M</t>
  </si>
  <si>
    <t>Free Palestine</t>
  </si>
  <si>
    <t>YAFA</t>
  </si>
  <si>
    <t>$0.01483</t>
  </si>
  <si>
    <t>$14,389,863</t>
  </si>
  <si>
    <t>$34,241</t>
  </si>
  <si>
    <t>969.99M</t>
  </si>
  <si>
    <t>Infinitar</t>
  </si>
  <si>
    <t>IGT</t>
  </si>
  <si>
    <t>$0.04302</t>
  </si>
  <si>
    <t>0.28%</t>
  </si>
  <si>
    <t>$11,345,859</t>
  </si>
  <si>
    <t>$810,252</t>
  </si>
  <si>
    <t>263.73M</t>
  </si>
  <si>
    <t>Biswap</t>
  </si>
  <si>
    <t>BSW</t>
  </si>
  <si>
    <t>$0.01686</t>
  </si>
  <si>
    <t>1.10%</t>
  </si>
  <si>
    <t>$11,304,052</t>
  </si>
  <si>
    <t>$8,799,764</t>
  </si>
  <si>
    <t>670.18M</t>
  </si>
  <si>
    <t>PublicAI</t>
  </si>
  <si>
    <t>PUBLIC</t>
  </si>
  <si>
    <t>$0.05637</t>
  </si>
  <si>
    <t>$11,274,163</t>
  </si>
  <si>
    <t>$6,405,267</t>
  </si>
  <si>
    <t>200M</t>
  </si>
  <si>
    <t>BasedAI</t>
  </si>
  <si>
    <t>BASEDAI</t>
  </si>
  <si>
    <t>$0.3249</t>
  </si>
  <si>
    <t>$11,243,721</t>
  </si>
  <si>
    <t>$25,910</t>
  </si>
  <si>
    <t>34.59M</t>
  </si>
  <si>
    <t>Bellscoin</t>
  </si>
  <si>
    <t>BELLS</t>
  </si>
  <si>
    <t>$0.1833</t>
  </si>
  <si>
    <t>2.60%</t>
  </si>
  <si>
    <t>$11,181,505</t>
  </si>
  <si>
    <t>$95,241</t>
  </si>
  <si>
    <t>60.97M</t>
  </si>
  <si>
    <t>SIGMA</t>
  </si>
  <si>
    <t>$0.01242</t>
  </si>
  <si>
    <t>1.64%</t>
  </si>
  <si>
    <t>$11,184,297</t>
  </si>
  <si>
    <t>$1,157,910</t>
  </si>
  <si>
    <t>899.84M</t>
  </si>
  <si>
    <t>STUFF.io</t>
  </si>
  <si>
    <t>STUFF</t>
  </si>
  <si>
    <t>$0.004238</t>
  </si>
  <si>
    <t>0.87%</t>
  </si>
  <si>
    <t>$11,144,288</t>
  </si>
  <si>
    <t>$19,472</t>
  </si>
  <si>
    <t>2.62B</t>
  </si>
  <si>
    <t>Tectonic</t>
  </si>
  <si>
    <t>TONIC</t>
  </si>
  <si>
    <t>$0.074502</t>
  </si>
  <si>
    <t>0.51%</t>
  </si>
  <si>
    <t>$11,155,057</t>
  </si>
  <si>
    <t>$233,918</t>
  </si>
  <si>
    <t>247.73T</t>
  </si>
  <si>
    <t>Prosper</t>
  </si>
  <si>
    <t>PROS</t>
  </si>
  <si>
    <t>$0.2159</t>
  </si>
  <si>
    <t>$11,101,030</t>
  </si>
  <si>
    <t>$105,278</t>
  </si>
  <si>
    <t>51.39M</t>
  </si>
  <si>
    <t>AKEDO</t>
  </si>
  <si>
    <t>AKE</t>
  </si>
  <si>
    <t>$0.0004861</t>
  </si>
  <si>
    <t>$11,082,865</t>
  </si>
  <si>
    <t>$8,599,503</t>
  </si>
  <si>
    <t>22.79B</t>
  </si>
  <si>
    <t>StablR USD</t>
  </si>
  <si>
    <t>USDR</t>
  </si>
  <si>
    <t>$0.9993</t>
  </si>
  <si>
    <t>$8,799,631</t>
  </si>
  <si>
    <t>$50,214,459</t>
  </si>
  <si>
    <t>8.8M</t>
  </si>
  <si>
    <t>Counterparty</t>
  </si>
  <si>
    <t>XCP</t>
  </si>
  <si>
    <t>$3.38</t>
  </si>
  <si>
    <t>$8,770,979</t>
  </si>
  <si>
    <t>$10</t>
  </si>
  <si>
    <t>2.59M</t>
  </si>
  <si>
    <t>Steem Dollars</t>
  </si>
  <si>
    <t>SBD</t>
  </si>
  <si>
    <t>$0.8940</t>
  </si>
  <si>
    <t>$8,762,689</t>
  </si>
  <si>
    <t>$1,784,357</t>
  </si>
  <si>
    <t>9.8M</t>
  </si>
  <si>
    <t>Startup</t>
  </si>
  <si>
    <t>STARTUP</t>
  </si>
  <si>
    <t>$0.008843</t>
  </si>
  <si>
    <t>1.13%</t>
  </si>
  <si>
    <t>$8,757,334</t>
  </si>
  <si>
    <t>$1,018,996</t>
  </si>
  <si>
    <t>990.28M</t>
  </si>
  <si>
    <t>LinqAI</t>
  </si>
  <si>
    <t>LNQ</t>
  </si>
  <si>
    <t>$0.03631</t>
  </si>
  <si>
    <t>$8,738,652</t>
  </si>
  <si>
    <t>$849,245</t>
  </si>
  <si>
    <t>240.6M</t>
  </si>
  <si>
    <t>Baanx</t>
  </si>
  <si>
    <t>BXX</t>
  </si>
  <si>
    <t>$0.04564</t>
  </si>
  <si>
    <t>$8,732,769</t>
  </si>
  <si>
    <t>$31,161</t>
  </si>
  <si>
    <t>191.31M</t>
  </si>
  <si>
    <t>TrustSwap</t>
  </si>
  <si>
    <t>SWAP</t>
  </si>
  <si>
    <t>$0.08713</t>
  </si>
  <si>
    <t>0.62%</t>
  </si>
  <si>
    <t>$8,712,671</t>
  </si>
  <si>
    <t>$260,752</t>
  </si>
  <si>
    <t>99.99M</t>
  </si>
  <si>
    <t>Tanssi</t>
  </si>
  <si>
    <t>TANSSI</t>
  </si>
  <si>
    <t>$0.03952</t>
  </si>
  <si>
    <t>$8,699,473</t>
  </si>
  <si>
    <t>$7,734,230</t>
  </si>
  <si>
    <t>220.1M</t>
  </si>
  <si>
    <t>Stride</t>
  </si>
  <si>
    <t>STRD</t>
  </si>
  <si>
    <t>$0.09871</t>
  </si>
  <si>
    <t>$8,669,853</t>
  </si>
  <si>
    <t>$229,548</t>
  </si>
  <si>
    <t>87.82M</t>
  </si>
  <si>
    <t>Peercoin</t>
  </si>
  <si>
    <t>PPC</t>
  </si>
  <si>
    <t>$0.2912</t>
  </si>
  <si>
    <t>$8,662,826</t>
  </si>
  <si>
    <t>$65,907</t>
  </si>
  <si>
    <t>29.74M</t>
  </si>
  <si>
    <t>WHALE</t>
  </si>
  <si>
    <t>$0.7020</t>
  </si>
  <si>
    <t>$7,020,264</t>
  </si>
  <si>
    <t>10M</t>
  </si>
  <si>
    <t>Venus DAI</t>
  </si>
  <si>
    <t>vDAI</t>
  </si>
  <si>
    <t>$0.02555</t>
  </si>
  <si>
    <t>$7,015,949</t>
  </si>
  <si>
    <t>274.53M</t>
  </si>
  <si>
    <t>Fluence</t>
  </si>
  <si>
    <t>FLT</t>
  </si>
  <si>
    <t>$0.03469</t>
  </si>
  <si>
    <t>$6,977,656</t>
  </si>
  <si>
    <t>$146,941</t>
  </si>
  <si>
    <t>201.12M</t>
  </si>
  <si>
    <t>Partisia Blockchain</t>
  </si>
  <si>
    <t>MPC</t>
  </si>
  <si>
    <t>$0.01934</t>
  </si>
  <si>
    <t>$6,955,385</t>
  </si>
  <si>
    <t>$6,780</t>
  </si>
  <si>
    <t>359.59M</t>
  </si>
  <si>
    <t>Hoge Finance</t>
  </si>
  <si>
    <t>HOGE</t>
  </si>
  <si>
    <t>$0.00001759</t>
  </si>
  <si>
    <t>$6,922,422</t>
  </si>
  <si>
    <t>393.4B</t>
  </si>
  <si>
    <t>Pain (paintoken.com)</t>
  </si>
  <si>
    <t>PAIN</t>
  </si>
  <si>
    <t>$1.38</t>
  </si>
  <si>
    <t>2.85%</t>
  </si>
  <si>
    <t>$6,916,559</t>
  </si>
  <si>
    <t>$425,962</t>
  </si>
  <si>
    <t>4.99M</t>
  </si>
  <si>
    <t>Sentinel</t>
  </si>
  <si>
    <t>P2P</t>
  </si>
  <si>
    <t>$0.0002995</t>
  </si>
  <si>
    <t>$6,910,668</t>
  </si>
  <si>
    <t>$87,808</t>
  </si>
  <si>
    <t>23.06B</t>
  </si>
  <si>
    <t>Cere Network</t>
  </si>
  <si>
    <t>CERE</t>
  </si>
  <si>
    <t>$0.0009944</t>
  </si>
  <si>
    <t>$6,901,123</t>
  </si>
  <si>
    <t>$187,469</t>
  </si>
  <si>
    <t>6.93B</t>
  </si>
  <si>
    <t>OVR</t>
  </si>
  <si>
    <t>$0.1352</t>
  </si>
  <si>
    <t>0.18%</t>
  </si>
  <si>
    <t>$6,897,513</t>
  </si>
  <si>
    <t>$340,331</t>
  </si>
  <si>
    <t>50.99M</t>
  </si>
  <si>
    <t>fanC</t>
  </si>
  <si>
    <t>FANC</t>
  </si>
  <si>
    <t>$0.004908</t>
  </si>
  <si>
    <t>$6,894,766</t>
  </si>
  <si>
    <t>$321,408</t>
  </si>
  <si>
    <t>1.4B</t>
  </si>
  <si>
    <t>Velvet</t>
  </si>
  <si>
    <t>VELVET</t>
  </si>
  <si>
    <t>$0.06052</t>
  </si>
  <si>
    <t>$5,328,756</t>
  </si>
  <si>
    <t>$4,164,781</t>
  </si>
  <si>
    <t>88.03M</t>
  </si>
  <si>
    <t>Wibegram</t>
  </si>
  <si>
    <t>WIBE</t>
  </si>
  <si>
    <t>$0.2610</t>
  </si>
  <si>
    <t>$5,322,203</t>
  </si>
  <si>
    <t>$3,754,649</t>
  </si>
  <si>
    <t>20.38M</t>
  </si>
  <si>
    <t>ABBC Coin</t>
  </si>
  <si>
    <t>ABBC</t>
  </si>
  <si>
    <t>$0.005877</t>
  </si>
  <si>
    <t>$5,321,075</t>
  </si>
  <si>
    <t>$59,834</t>
  </si>
  <si>
    <t>905.3M</t>
  </si>
  <si>
    <t>Lion Cat</t>
  </si>
  <si>
    <t>LCAT</t>
  </si>
  <si>
    <t>$0.01122</t>
  </si>
  <si>
    <t>2.94%</t>
  </si>
  <si>
    <t>$5,289,262</t>
  </si>
  <si>
    <t>$30,255</t>
  </si>
  <si>
    <t>471M</t>
  </si>
  <si>
    <t>Zero1 Labs</t>
  </si>
  <si>
    <t>DEAI</t>
  </si>
  <si>
    <t>$0.05787</t>
  </si>
  <si>
    <t>$5,279,826</t>
  </si>
  <si>
    <t>$1,013,267</t>
  </si>
  <si>
    <t>91.22M</t>
  </si>
  <si>
    <t>STAT</t>
  </si>
  <si>
    <t>$0.06946</t>
  </si>
  <si>
    <t>$5,273,359</t>
  </si>
  <si>
    <t>$846,710</t>
  </si>
  <si>
    <t>75.91M</t>
  </si>
  <si>
    <t>Stonks</t>
  </si>
  <si>
    <t>STNK</t>
  </si>
  <si>
    <t>$9.06</t>
  </si>
  <si>
    <t>$5,254,151</t>
  </si>
  <si>
    <t>$27,503</t>
  </si>
  <si>
    <t>579.84K</t>
  </si>
  <si>
    <t>Epic Cash</t>
  </si>
  <si>
    <t>EPIC</t>
  </si>
  <si>
    <t>$0.3037</t>
  </si>
  <si>
    <t>$5,249,160</t>
  </si>
  <si>
    <t>$64,548</t>
  </si>
  <si>
    <t>17.27M</t>
  </si>
  <si>
    <t>ORBIT</t>
  </si>
  <si>
    <t>GRIFT</t>
  </si>
  <si>
    <t>$0.005238</t>
  </si>
  <si>
    <t>0.91%</t>
  </si>
  <si>
    <t>$5,236,511</t>
  </si>
  <si>
    <t>$2,582,102</t>
  </si>
  <si>
    <t>999.68M</t>
  </si>
  <si>
    <t>Upland (SPARKLET)</t>
  </si>
  <si>
    <t>SPARKLET</t>
  </si>
  <si>
    <t>$0.02444</t>
  </si>
  <si>
    <t>$5,209,385</t>
  </si>
  <si>
    <t>$289,972</t>
  </si>
  <si>
    <t>213.09M</t>
  </si>
  <si>
    <t>Troll (troll.run)</t>
  </si>
  <si>
    <t>TROLL</t>
  </si>
  <si>
    <t>$0.084376</t>
  </si>
  <si>
    <t>1.33%</t>
  </si>
  <si>
    <t>$4,203,318</t>
  </si>
  <si>
    <t>$369,327</t>
  </si>
  <si>
    <t>960.42T</t>
  </si>
  <si>
    <t>DeFi Kingdoms</t>
  </si>
  <si>
    <t>JEWEL</t>
  </si>
  <si>
    <t>$0.03701</t>
  </si>
  <si>
    <t>$4,202,448</t>
  </si>
  <si>
    <t>113.53M</t>
  </si>
  <si>
    <t>BitForex Token</t>
  </si>
  <si>
    <t>BF</t>
  </si>
  <si>
    <t>$0.0009776</t>
  </si>
  <si>
    <t>$4,193,254</t>
  </si>
  <si>
    <t>4.28B</t>
  </si>
  <si>
    <t>XPIN Network</t>
  </si>
  <si>
    <t>XPIN</t>
  </si>
  <si>
    <t>$0.0006957</t>
  </si>
  <si>
    <t>3.69%</t>
  </si>
  <si>
    <t>$4,174,785</t>
  </si>
  <si>
    <t>$10,230,683</t>
  </si>
  <si>
    <t>6B</t>
  </si>
  <si>
    <t>Beam</t>
  </si>
  <si>
    <t>BEAM</t>
  </si>
  <si>
    <t>$0.02762</t>
  </si>
  <si>
    <t>$4,163,952</t>
  </si>
  <si>
    <t>$96,917</t>
  </si>
  <si>
    <t>150.75M</t>
  </si>
  <si>
    <t>Project WITH</t>
  </si>
  <si>
    <t>WIKEN</t>
  </si>
  <si>
    <t>$0.003939</t>
  </si>
  <si>
    <t>$4,148,747</t>
  </si>
  <si>
    <t>$8,766</t>
  </si>
  <si>
    <t>1.05B</t>
  </si>
  <si>
    <t>ICHI</t>
  </si>
  <si>
    <t>$0.4422</t>
  </si>
  <si>
    <t>$4,145,259</t>
  </si>
  <si>
    <t>9.37M</t>
  </si>
  <si>
    <t>Mysterium</t>
  </si>
  <si>
    <t>MYST</t>
  </si>
  <si>
    <t>$0.2066</t>
  </si>
  <si>
    <t>0.98%</t>
  </si>
  <si>
    <t>$4,140,168</t>
  </si>
  <si>
    <t>$106,213</t>
  </si>
  <si>
    <t>20.03M</t>
  </si>
  <si>
    <t>PRIZM</t>
  </si>
  <si>
    <t>PZM</t>
  </si>
  <si>
    <t>$0.0009470</t>
  </si>
  <si>
    <t>$4,138,839</t>
  </si>
  <si>
    <t>$847</t>
  </si>
  <si>
    <t>4.37B</t>
  </si>
  <si>
    <t>Frodo the virtual samurai</t>
  </si>
  <si>
    <t>FROG</t>
  </si>
  <si>
    <t>$0.0008261</t>
  </si>
  <si>
    <t>0.69%</t>
  </si>
  <si>
    <t>$4,130,541</t>
  </si>
  <si>
    <t>$355,240</t>
  </si>
  <si>
    <t>5B</t>
  </si>
  <si>
    <t>CatSlap</t>
  </si>
  <si>
    <t>SLAP</t>
  </si>
  <si>
    <t>$0.0007666</t>
  </si>
  <si>
    <t>$3,350,959</t>
  </si>
  <si>
    <t>MSTR2100</t>
  </si>
  <si>
    <t>MSTR</t>
  </si>
  <si>
    <t>$0.1620</t>
  </si>
  <si>
    <t>0.27%</t>
  </si>
  <si>
    <t>$3,346,569</t>
  </si>
  <si>
    <t>$331,094</t>
  </si>
  <si>
    <t>20.64M</t>
  </si>
  <si>
    <t>LABEL AI</t>
  </si>
  <si>
    <t>LBL</t>
  </si>
  <si>
    <t>$0.001237</t>
  </si>
  <si>
    <t>0.54%</t>
  </si>
  <si>
    <t>$3,339,357</t>
  </si>
  <si>
    <t>$18,420</t>
  </si>
  <si>
    <t>2.69B</t>
  </si>
  <si>
    <t>RCADE</t>
  </si>
  <si>
    <t>$0.0004016</t>
  </si>
  <si>
    <t>0.96%</t>
  </si>
  <si>
    <t>$3,333,341</t>
  </si>
  <si>
    <t>$1,613,699</t>
  </si>
  <si>
    <t>8.29B</t>
  </si>
  <si>
    <t>CrossFi</t>
  </si>
  <si>
    <t>XFI</t>
  </si>
  <si>
    <t>$0.05404</t>
  </si>
  <si>
    <t>$3,321,989</t>
  </si>
  <si>
    <t>$875,780</t>
  </si>
  <si>
    <t>61.46M</t>
  </si>
  <si>
    <t>Boom</t>
  </si>
  <si>
    <t>BOOM</t>
  </si>
  <si>
    <t>$0.01320</t>
  </si>
  <si>
    <t>1.12%</t>
  </si>
  <si>
    <t>$3,318,891</t>
  </si>
  <si>
    <t>$2,394,175</t>
  </si>
  <si>
    <t>251.34M</t>
  </si>
  <si>
    <t>Izumi Finance</t>
  </si>
  <si>
    <t>IZI</t>
  </si>
  <si>
    <t>$0.004211</t>
  </si>
  <si>
    <t>$3,316,153</t>
  </si>
  <si>
    <t>$95,553</t>
  </si>
  <si>
    <t>787.4M</t>
  </si>
  <si>
    <t>Push Protocol</t>
  </si>
  <si>
    <t>PUSH</t>
  </si>
  <si>
    <t>$0.03652</t>
  </si>
  <si>
    <t>0.29%</t>
  </si>
  <si>
    <t>$3,296,073</t>
  </si>
  <si>
    <t>$1,991,360</t>
  </si>
  <si>
    <t>90.23M</t>
  </si>
  <si>
    <t>Patriot</t>
  </si>
  <si>
    <t>PATRIOT</t>
  </si>
  <si>
    <t>$0.0003290</t>
  </si>
  <si>
    <t>$3,290,369</t>
  </si>
  <si>
    <t>$19,915</t>
  </si>
  <si>
    <t>10B</t>
  </si>
  <si>
    <t>Panda Swap</t>
  </si>
  <si>
    <t>PANDA</t>
  </si>
  <si>
    <t>$0.003694</t>
  </si>
  <si>
    <t>0.74%</t>
  </si>
  <si>
    <t>$3,283,841</t>
  </si>
  <si>
    <t>$123,380</t>
  </si>
  <si>
    <t>888.88M</t>
  </si>
  <si>
    <t>GAM3S.GG</t>
  </si>
  <si>
    <t>G3</t>
  </si>
  <si>
    <t>$0.005020</t>
  </si>
  <si>
    <t>0.17%</t>
  </si>
  <si>
    <t>$2,780,822</t>
  </si>
  <si>
    <t>$492,884</t>
  </si>
  <si>
    <t>553.85M</t>
  </si>
  <si>
    <t>Harold</t>
  </si>
  <si>
    <t>HAROLD</t>
  </si>
  <si>
    <t>$0.003526</t>
  </si>
  <si>
    <t>$2,775,444</t>
  </si>
  <si>
    <t>$78,498</t>
  </si>
  <si>
    <t>787M</t>
  </si>
  <si>
    <t>Tiger Shark</t>
  </si>
  <si>
    <t>TIGERSHARK</t>
  </si>
  <si>
    <t>$0.002758</t>
  </si>
  <si>
    <t>$2,758,101</t>
  </si>
  <si>
    <t>Decentrawood</t>
  </si>
  <si>
    <t>DEOD</t>
  </si>
  <si>
    <t>$0.005687</t>
  </si>
  <si>
    <t>$2,752,249</t>
  </si>
  <si>
    <t>$248,901</t>
  </si>
  <si>
    <t>483.88M</t>
  </si>
  <si>
    <t>Lumera Health</t>
  </si>
  <si>
    <t>LUR</t>
  </si>
  <si>
    <t>$2.63</t>
  </si>
  <si>
    <t>1.66%</t>
  </si>
  <si>
    <t>$2,740,226</t>
  </si>
  <si>
    <t>$650,212</t>
  </si>
  <si>
    <t>1.04M</t>
  </si>
  <si>
    <t>Celsius</t>
  </si>
  <si>
    <t>CEL</t>
  </si>
  <si>
    <t>$0.07225</t>
  </si>
  <si>
    <t>$2,725,328</t>
  </si>
  <si>
    <t>$225,992</t>
  </si>
  <si>
    <t>37.72M</t>
  </si>
  <si>
    <t>aixCB by Virtuals</t>
  </si>
  <si>
    <t>AIXCB</t>
  </si>
  <si>
    <t>$0.002739</t>
  </si>
  <si>
    <t>$2,721,575</t>
  </si>
  <si>
    <t>$9,317</t>
  </si>
  <si>
    <t>993.5M</t>
  </si>
  <si>
    <t>Solchat</t>
  </si>
  <si>
    <t>CHAT</t>
  </si>
  <si>
    <t>$0.3380</t>
  </si>
  <si>
    <t>1.62%</t>
  </si>
  <si>
    <t>$2,718,841</t>
  </si>
  <si>
    <t>$93,501</t>
  </si>
  <si>
    <t>8.04M</t>
  </si>
  <si>
    <t>Baby Grok (babygrok.ai)</t>
  </si>
  <si>
    <t>BABYGROK</t>
  </si>
  <si>
    <t>$0.088474</t>
  </si>
  <si>
    <t>$2,717,949</t>
  </si>
  <si>
    <t>$86,410</t>
  </si>
  <si>
    <t>320.72T</t>
  </si>
  <si>
    <t>Alpaca Finance</t>
  </si>
  <si>
    <t>ALPACA</t>
  </si>
  <si>
    <t>$0.01790</t>
  </si>
  <si>
    <t>0.64%</t>
  </si>
  <si>
    <t>$2,715,332</t>
  </si>
  <si>
    <t>$475,091</t>
  </si>
  <si>
    <t>151.66M</t>
  </si>
  <si>
    <t>Nitro</t>
  </si>
  <si>
    <t>NITRO</t>
  </si>
  <si>
    <t>$0.055381</t>
  </si>
  <si>
    <t>$2,203,902</t>
  </si>
  <si>
    <t>$537,558</t>
  </si>
  <si>
    <t>409.5B</t>
  </si>
  <si>
    <t>MarsDAO</t>
  </si>
  <si>
    <t>MDAO</t>
  </si>
  <si>
    <t>$0.03111</t>
  </si>
  <si>
    <t>$2,196,829</t>
  </si>
  <si>
    <t>$181,224</t>
  </si>
  <si>
    <t>70.59M</t>
  </si>
  <si>
    <t>Cypherium</t>
  </si>
  <si>
    <t>CPH</t>
  </si>
  <si>
    <t>$0.005725</t>
  </si>
  <si>
    <t>$2,192,711</t>
  </si>
  <si>
    <t>$55,232</t>
  </si>
  <si>
    <t>382.95M</t>
  </si>
  <si>
    <t>The Nation Token</t>
  </si>
  <si>
    <t>NATO</t>
  </si>
  <si>
    <t>$0.052193</t>
  </si>
  <si>
    <t>$2,193,844</t>
  </si>
  <si>
    <t>$238,266</t>
  </si>
  <si>
    <t>1T</t>
  </si>
  <si>
    <t>Orbit Chain</t>
  </si>
  <si>
    <t>ORC</t>
  </si>
  <si>
    <t>$0.003197</t>
  </si>
  <si>
    <t>$2,190,937</t>
  </si>
  <si>
    <t>685.09M</t>
  </si>
  <si>
    <t>Messiah</t>
  </si>
  <si>
    <t>MSIA</t>
  </si>
  <si>
    <t>$0.3023</t>
  </si>
  <si>
    <t>$2,187,874</t>
  </si>
  <si>
    <t>$49,762</t>
  </si>
  <si>
    <t>7.23M</t>
  </si>
  <si>
    <t>Xaya</t>
  </si>
  <si>
    <t>CHI</t>
  </si>
  <si>
    <t>$0.03800</t>
  </si>
  <si>
    <t>$2,179,537</t>
  </si>
  <si>
    <t>$1,268</t>
  </si>
  <si>
    <t>57.34M</t>
  </si>
  <si>
    <t>Shiba Predator</t>
  </si>
  <si>
    <t>QOM</t>
  </si>
  <si>
    <t>$0.083632</t>
  </si>
  <si>
    <t>1.05%</t>
  </si>
  <si>
    <t>$2,178,852</t>
  </si>
  <si>
    <t>$3,030</t>
  </si>
  <si>
    <t>599.88T</t>
  </si>
  <si>
    <t>Expand</t>
  </si>
  <si>
    <t>XZK</t>
  </si>
  <si>
    <t>$0.003261</t>
  </si>
  <si>
    <t>1.83%</t>
  </si>
  <si>
    <t>$2,188,825</t>
  </si>
  <si>
    <t>$69,711</t>
  </si>
  <si>
    <t>671.09M</t>
  </si>
  <si>
    <t>TypeAI</t>
  </si>
  <si>
    <t>TYPE</t>
  </si>
  <si>
    <t>$0.2167</t>
  </si>
  <si>
    <t>$2,167,793</t>
  </si>
  <si>
    <t>Plearn</t>
  </si>
  <si>
    <t>PLN</t>
  </si>
  <si>
    <t>$0.02041</t>
  </si>
  <si>
    <t>$1,756,805</t>
  </si>
  <si>
    <t>$90,761</t>
  </si>
  <si>
    <t>86.06M</t>
  </si>
  <si>
    <t>HODL Coin</t>
  </si>
  <si>
    <t>HODL</t>
  </si>
  <si>
    <t>$0.001755</t>
  </si>
  <si>
    <t>4.27%</t>
  </si>
  <si>
    <t>$1,755,788</t>
  </si>
  <si>
    <t>$403,029</t>
  </si>
  <si>
    <t>Neutrino Index</t>
  </si>
  <si>
    <t>XTN</t>
  </si>
  <si>
    <t>$0.03375</t>
  </si>
  <si>
    <t>$1,754,868</t>
  </si>
  <si>
    <t>$637</t>
  </si>
  <si>
    <t>51.98M</t>
  </si>
  <si>
    <t>ADAMANT Messenger</t>
  </si>
  <si>
    <t>ADM</t>
  </si>
  <si>
    <t>$0.01587</t>
  </si>
  <si>
    <t>$1,752,254</t>
  </si>
  <si>
    <t>$73,794</t>
  </si>
  <si>
    <t>110.37M</t>
  </si>
  <si>
    <t>Q Protocol</t>
  </si>
  <si>
    <t>QGOV</t>
  </si>
  <si>
    <t>$0.006551</t>
  </si>
  <si>
    <t>$1,747,236</t>
  </si>
  <si>
    <t>$99,738</t>
  </si>
  <si>
    <t>266.69M</t>
  </si>
  <si>
    <t>Carnomaly</t>
  </si>
  <si>
    <t>CARR</t>
  </si>
  <si>
    <t>$0.001085</t>
  </si>
  <si>
    <t>0.58%</t>
  </si>
  <si>
    <t>$1,745,226</t>
  </si>
  <si>
    <t>$57,798</t>
  </si>
  <si>
    <t>Tune.FM</t>
  </si>
  <si>
    <t>JAM</t>
  </si>
  <si>
    <t>$0.00005854</t>
  </si>
  <si>
    <t>$1,739,324</t>
  </si>
  <si>
    <t>$28,022</t>
  </si>
  <si>
    <t>29.7B</t>
  </si>
  <si>
    <t>Etherisc DIP Token</t>
  </si>
  <si>
    <t>DIP</t>
  </si>
  <si>
    <t>$0.007252</t>
  </si>
  <si>
    <t>$1,738,739</t>
  </si>
  <si>
    <t>$52</t>
  </si>
  <si>
    <t>239.74M</t>
  </si>
  <si>
    <t>IVPAY</t>
  </si>
  <si>
    <t>$0.001871</t>
  </si>
  <si>
    <t>0.26%</t>
  </si>
  <si>
    <t>$1,736,200</t>
  </si>
  <si>
    <t>$105,335</t>
  </si>
  <si>
    <t>927.74M</t>
  </si>
  <si>
    <t>Gemach</t>
  </si>
  <si>
    <t>GMAC</t>
  </si>
  <si>
    <t>$0.003466</t>
  </si>
  <si>
    <t>$1,733,212</t>
  </si>
  <si>
    <t>Circulating_Supply($)</t>
  </si>
  <si>
    <t>$Volume per Supply</t>
  </si>
  <si>
    <t>Rank</t>
  </si>
  <si>
    <t>Price Range</t>
  </si>
  <si>
    <t>Row Labels</t>
  </si>
  <si>
    <t>Grand Total</t>
  </si>
  <si>
    <t xml:space="preserve"> Price (USD)</t>
  </si>
  <si>
    <t>Sum of 1h Change (%)</t>
  </si>
  <si>
    <t>Sum of $Volume per Supply</t>
  </si>
  <si>
    <t>Sum of Market Cap</t>
  </si>
  <si>
    <t>Others</t>
  </si>
  <si>
    <t>Key Performance Indicators</t>
  </si>
  <si>
    <t>Total Market Capital</t>
  </si>
  <si>
    <t>Total Price of Coins</t>
  </si>
  <si>
    <t>Total Circulating Supply</t>
  </si>
  <si>
    <t>Highest Price Coin</t>
  </si>
  <si>
    <t>Highest Price</t>
  </si>
  <si>
    <t>Sum of Price (USD)</t>
  </si>
  <si>
    <t>Sum of Circulating_Supply($)</t>
  </si>
  <si>
    <t>CRYPTO ANALYSIS DASHBOARD</t>
  </si>
  <si>
    <t>24h Change (%)</t>
  </si>
  <si>
    <t>7d Change (%)</t>
  </si>
  <si>
    <t>Price Range New</t>
  </si>
  <si>
    <t>Average Downfall %</t>
  </si>
  <si>
    <t>Min of Average Downfall %</t>
  </si>
  <si>
    <t>(All)</t>
  </si>
  <si>
    <t>Min of Price (USD)</t>
  </si>
  <si>
    <t>Best Coin Name</t>
  </si>
  <si>
    <t>Best Coin Symbol</t>
  </si>
  <si>
    <t>Best Coin Price</t>
  </si>
  <si>
    <t>Best Avg Downfall</t>
  </si>
  <si>
    <t>Total Coins in Selected Range</t>
  </si>
  <si>
    <t xml:space="preserve"> Price Range </t>
  </si>
  <si>
    <t>Yala_</t>
  </si>
  <si>
    <t>1-Hour Before Price</t>
  </si>
  <si>
    <t>24-Hour Before Price (Decrease)</t>
  </si>
  <si>
    <t>7-Day Before Price</t>
  </si>
  <si>
    <t>Price Change Amount (1 hr)</t>
  </si>
  <si>
    <t>Price Change Amount</t>
  </si>
  <si>
    <t>Sum of Price Change Amount</t>
  </si>
  <si>
    <t>Sum of 1-Hour Before Price</t>
  </si>
  <si>
    <t>Current Price</t>
  </si>
  <si>
    <t>&lt; $10</t>
  </si>
  <si>
    <t>Valid Coin</t>
  </si>
  <si>
    <t>Sum of Volume (24h) USD</t>
  </si>
  <si>
    <t>Yes</t>
  </si>
  <si>
    <t>Field</t>
  </si>
  <si>
    <t>Coin 1</t>
  </si>
  <si>
    <t>Coin 2</t>
  </si>
  <si>
    <t>Price</t>
  </si>
  <si>
    <t xml:space="preserve">Volume </t>
  </si>
  <si>
    <t>Volume Difference</t>
  </si>
  <si>
    <t>Market Cap Difference</t>
  </si>
  <si>
    <t>Supply Difference</t>
  </si>
  <si>
    <t>Enter Coin Names in J3 &amp; K3</t>
  </si>
  <si>
    <t>Price Category</t>
  </si>
  <si>
    <t>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</si>
</sst>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0.00"/>
    <numFmt numFmtId="165" formatCode="\-0.00%"/>
    <numFmt numFmtId="166" formatCode="0.0000"/>
  </numFmts>
  <fonts count="7" x14ac:knownFonts="1">
    <font>
      <sz val="11"/>
      <color theme="1"/>
      <name val="Calibri"/>
      <family val="2"/>
      <scheme val="minor"/>
    </font>
    <font>
      <b/>
      <sz val="11"/>
      <name val="Calibri"/>
    </font>
    <font>
      <sz val="75"/>
      <color theme="1"/>
      <name val="Aharoni"/>
      <charset val="177"/>
    </font>
    <font>
      <b/>
      <sz val="11"/>
      <name val="Calibri"/>
      <family val="2"/>
    </font>
    <font>
      <b/>
      <sz val="11"/>
      <color theme="0"/>
      <name val="Calibri"/>
      <family val="2"/>
      <scheme val="minor"/>
    </font>
    <font>
      <b/>
      <sz val="26"/>
      <color rgb="FFFF0000"/>
      <name val="Calibri"/>
      <family val="2"/>
      <scheme val="minor"/>
    </font>
    <font>
      <sz val="18"/>
      <color rgb="FFFF0000"/>
      <name val="Calibri"/>
      <family val="2"/>
      <scheme val="minor"/>
    </font>
  </fonts>
  <fills count="11">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4" tint="0.59999389629810485"/>
        <bgColor theme="4" tint="0.59999389629810485"/>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6"/>
        <bgColor theme="6"/>
      </patternFill>
    </fill>
    <fill>
      <patternFill patternType="solid">
        <fgColor rgb="FFFFFF00"/>
        <bgColor indexed="64"/>
      </patternFill>
    </fill>
  </fills>
  <borders count="12">
    <border>
      <left/>
      <right/>
      <top/>
      <bottom/>
      <diagonal/>
    </border>
    <border>
      <left style="thin">
        <color auto="1"/>
      </left>
      <right style="thin">
        <color auto="1"/>
      </right>
      <top/>
      <bottom style="thin">
        <color auto="1"/>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style="thick">
        <color theme="0"/>
      </bottom>
      <diagonal/>
    </border>
    <border>
      <left style="thin">
        <color theme="0"/>
      </left>
      <right style="thin">
        <color theme="0"/>
      </right>
      <top/>
      <bottom style="thick">
        <color theme="0"/>
      </bottom>
      <diagonal/>
    </border>
    <border>
      <left/>
      <right style="thin">
        <color theme="0"/>
      </right>
      <top/>
      <bottom/>
      <diagonal/>
    </border>
    <border>
      <left style="thin">
        <color theme="0"/>
      </left>
      <right/>
      <top/>
      <bottom style="thick">
        <color theme="0"/>
      </bottom>
      <diagonal/>
    </border>
    <border>
      <left style="thin">
        <color theme="0"/>
      </left>
      <right/>
      <top style="thin">
        <color theme="0"/>
      </top>
      <bottom style="thin">
        <color theme="0"/>
      </bottom>
      <diagonal/>
    </border>
    <border>
      <left style="thin">
        <color theme="0"/>
      </left>
      <right/>
      <top style="thin">
        <color theme="0"/>
      </top>
      <bottom/>
      <diagonal/>
    </border>
  </borders>
  <cellStyleXfs count="1">
    <xf numFmtId="0" fontId="0" fillId="0" borderId="0"/>
  </cellStyleXfs>
  <cellXfs count="38">
    <xf numFmtId="0" fontId="0" fillId="0" borderId="0" xfId="0"/>
    <xf numFmtId="0" fontId="1" fillId="0" borderId="1" xfId="0" applyFont="1" applyBorder="1" applyAlignment="1">
      <alignment horizontal="center" vertical="top"/>
    </xf>
    <xf numFmtId="0" fontId="0" fillId="0" borderId="0" xfId="0" pivotButton="1"/>
    <xf numFmtId="0" fontId="0" fillId="0" borderId="0" xfId="0" applyAlignment="1">
      <alignment horizontal="left"/>
    </xf>
    <xf numFmtId="0" fontId="0" fillId="0" borderId="0" xfId="0" applyAlignment="1">
      <alignment horizontal="left" indent="1"/>
    </xf>
    <xf numFmtId="0" fontId="0" fillId="2" borderId="0" xfId="0" applyFill="1"/>
    <xf numFmtId="0" fontId="0" fillId="6" borderId="2" xfId="0" applyFill="1" applyBorder="1"/>
    <xf numFmtId="0" fontId="0" fillId="4" borderId="2" xfId="0" applyFill="1" applyBorder="1"/>
    <xf numFmtId="164" fontId="0" fillId="0" borderId="0" xfId="0" applyNumberFormat="1"/>
    <xf numFmtId="10" fontId="0" fillId="0" borderId="0" xfId="0" applyNumberFormat="1"/>
    <xf numFmtId="165" fontId="0" fillId="0" borderId="0" xfId="0" applyNumberFormat="1"/>
    <xf numFmtId="0" fontId="3" fillId="5" borderId="1" xfId="0" applyFont="1" applyFill="1" applyBorder="1" applyAlignment="1">
      <alignment horizontal="center" vertical="top"/>
    </xf>
    <xf numFmtId="10" fontId="3" fillId="5" borderId="1" xfId="0" applyNumberFormat="1" applyFont="1" applyFill="1" applyBorder="1" applyAlignment="1">
      <alignment horizontal="center" vertical="top"/>
    </xf>
    <xf numFmtId="2" fontId="0" fillId="0" borderId="0" xfId="0" applyNumberFormat="1"/>
    <xf numFmtId="2" fontId="1" fillId="0" borderId="1" xfId="0" applyNumberFormat="1" applyFont="1" applyBorder="1" applyAlignment="1">
      <alignment horizontal="center" vertical="top"/>
    </xf>
    <xf numFmtId="166" fontId="0" fillId="6" borderId="3" xfId="0" applyNumberFormat="1" applyFill="1" applyBorder="1"/>
    <xf numFmtId="166" fontId="0" fillId="0" borderId="0" xfId="0" applyNumberFormat="1"/>
    <xf numFmtId="166" fontId="0" fillId="4" borderId="3" xfId="0" applyNumberFormat="1" applyFill="1" applyBorder="1"/>
    <xf numFmtId="0" fontId="0" fillId="7" borderId="2" xfId="0" applyFill="1" applyBorder="1"/>
    <xf numFmtId="0" fontId="0" fillId="7" borderId="3" xfId="0" applyFill="1" applyBorder="1"/>
    <xf numFmtId="0" fontId="0" fillId="8" borderId="2" xfId="0" applyFill="1" applyBorder="1"/>
    <xf numFmtId="0" fontId="0" fillId="8" borderId="3" xfId="0" applyFill="1" applyBorder="1"/>
    <xf numFmtId="0" fontId="0" fillId="7" borderId="4" xfId="0" applyFill="1" applyBorder="1"/>
    <xf numFmtId="0" fontId="0" fillId="7" borderId="5" xfId="0" applyFill="1" applyBorder="1"/>
    <xf numFmtId="0" fontId="4" fillId="9" borderId="6" xfId="0" applyFont="1" applyFill="1" applyBorder="1"/>
    <xf numFmtId="0" fontId="4" fillId="9" borderId="7" xfId="0" applyFont="1" applyFill="1" applyBorder="1"/>
    <xf numFmtId="0" fontId="4" fillId="9" borderId="8" xfId="0" applyFont="1" applyFill="1" applyBorder="1"/>
    <xf numFmtId="0" fontId="4" fillId="9" borderId="0" xfId="0" applyFont="1" applyFill="1"/>
    <xf numFmtId="0" fontId="5" fillId="0" borderId="0" xfId="0" applyFont="1"/>
    <xf numFmtId="0" fontId="4" fillId="9" borderId="9" xfId="0" applyFont="1" applyFill="1" applyBorder="1"/>
    <xf numFmtId="0" fontId="0" fillId="7" borderId="10" xfId="0" applyFill="1" applyBorder="1"/>
    <xf numFmtId="0" fontId="0" fillId="8" borderId="10" xfId="0" applyFill="1" applyBorder="1"/>
    <xf numFmtId="0" fontId="0" fillId="7" borderId="11" xfId="0" applyFill="1" applyBorder="1"/>
    <xf numFmtId="0" fontId="6" fillId="0" borderId="0" xfId="0" applyFont="1"/>
    <xf numFmtId="0" fontId="0" fillId="10" borderId="0" xfId="0" applyFill="1"/>
    <xf numFmtId="0" fontId="2" fillId="3" borderId="0" xfId="0" applyFont="1" applyFill="1" applyAlignment="1">
      <alignment horizontal="center"/>
    </xf>
    <xf numFmtId="0" fontId="0" fillId="3" borderId="0" xfId="0" applyFill="1" applyAlignment="1">
      <alignment horizontal="center"/>
    </xf>
    <xf numFmtId="0" fontId="0" fillId="0" borderId="0" xfId="0" applyNumberFormat="1"/>
  </cellXfs>
  <cellStyles count="1">
    <cellStyle name="Normal" xfId="0" builtinId="0"/>
  </cellStyles>
  <dxfs count="430">
    <dxf>
      <numFmt numFmtId="0" formatCode="General"/>
    </dxf>
    <dxf>
      <font>
        <b val="0"/>
        <i val="0"/>
        <strike val="0"/>
        <condense val="0"/>
        <extend val="0"/>
        <outline val="0"/>
        <shadow val="0"/>
        <u val="none"/>
        <vertAlign val="baseline"/>
        <sz val="11"/>
        <color theme="1"/>
        <name val="Calibri"/>
        <family val="2"/>
        <scheme val="minor"/>
      </font>
      <fill>
        <patternFill patternType="solid">
          <fgColor theme="6" tint="0.59999389629810485"/>
          <bgColor theme="6" tint="0.59999389629810485"/>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6" tint="0.59999389629810485"/>
          <bgColor theme="6"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6" tint="0.59999389629810485"/>
          <bgColor theme="6" tint="0.59999389629810485"/>
        </patternFill>
      </fill>
      <border diagonalUp="0" diagonalDown="0">
        <left/>
        <right style="thin">
          <color theme="0"/>
        </right>
        <top style="thin">
          <color theme="0"/>
        </top>
        <bottom style="thin">
          <color theme="0"/>
        </bottom>
        <vertical/>
        <horizontal/>
      </border>
    </dxf>
    <dxf>
      <border outline="0">
        <right style="thin">
          <color theme="0"/>
        </right>
      </border>
    </dxf>
    <dxf>
      <font>
        <b val="0"/>
        <i val="0"/>
        <strike val="0"/>
        <condense val="0"/>
        <extend val="0"/>
        <outline val="0"/>
        <shadow val="0"/>
        <u val="none"/>
        <vertAlign val="baseline"/>
        <sz val="11"/>
        <color theme="1"/>
        <name val="Calibri"/>
        <family val="2"/>
        <scheme val="minor"/>
      </font>
      <fill>
        <patternFill patternType="solid">
          <fgColor theme="6" tint="0.59999389629810485"/>
          <bgColor theme="6" tint="0.59999389629810485"/>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6" tint="0.59999389629810485"/>
          <bgColor theme="6"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6" tint="0.59999389629810485"/>
          <bgColor theme="6"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6" tint="0.59999389629810485"/>
          <bgColor theme="6"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6" tint="0.59999389629810485"/>
          <bgColor theme="6"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6" tint="0.59999389629810485"/>
          <bgColor theme="6" tint="0.59999389629810485"/>
        </patternFill>
      </fill>
      <border diagonalUp="0" diagonalDown="0">
        <left/>
        <right style="thin">
          <color theme="0"/>
        </right>
        <top style="thin">
          <color theme="0"/>
        </top>
        <bottom style="thin">
          <color theme="0"/>
        </bottom>
        <vertical/>
        <horizontal/>
      </border>
    </dxf>
    <dxf>
      <border outline="0">
        <top style="thin">
          <color theme="0"/>
        </top>
      </border>
    </dxf>
    <dxf>
      <border outline="0">
        <right style="thin">
          <color theme="0"/>
        </right>
      </border>
    </dxf>
    <dxf>
      <font>
        <b val="0"/>
        <i val="0"/>
        <strike val="0"/>
        <condense val="0"/>
        <extend val="0"/>
        <outline val="0"/>
        <shadow val="0"/>
        <u val="none"/>
        <vertAlign val="baseline"/>
        <sz val="11"/>
        <color theme="1"/>
        <name val="Calibri"/>
        <family val="2"/>
        <scheme val="minor"/>
      </font>
      <fill>
        <patternFill patternType="solid">
          <fgColor theme="6" tint="0.59999389629810485"/>
          <bgColor theme="6" tint="0.59999389629810485"/>
        </patternFill>
      </fill>
    </dxf>
    <dxf>
      <border outline="0">
        <bottom style="thick">
          <color theme="0"/>
        </bottom>
      </border>
    </dxf>
    <dxf>
      <font>
        <b/>
        <i val="0"/>
        <strike val="0"/>
        <condense val="0"/>
        <extend val="0"/>
        <outline val="0"/>
        <shadow val="0"/>
        <u val="none"/>
        <vertAlign val="baseline"/>
        <sz val="11"/>
        <color theme="0"/>
        <name val="Calibri"/>
        <family val="2"/>
        <scheme val="minor"/>
      </font>
      <fill>
        <patternFill patternType="solid">
          <fgColor theme="6"/>
          <bgColor theme="6"/>
        </patternFill>
      </fill>
      <border diagonalUp="0" diagonalDown="0" outline="0">
        <left style="thin">
          <color theme="0"/>
        </left>
        <right style="thin">
          <color theme="0"/>
        </right>
        <top/>
        <bottom/>
      </border>
    </dxf>
    <dxf>
      <numFmt numFmtId="0" formatCode="General"/>
    </dxf>
    <dxf>
      <font>
        <b val="0"/>
        <i val="0"/>
        <strike val="0"/>
        <condense val="0"/>
        <extend val="0"/>
        <outline val="0"/>
        <shadow val="0"/>
        <u val="none"/>
        <vertAlign val="baseline"/>
        <sz val="11"/>
        <color theme="1"/>
        <name val="Calibri"/>
        <family val="2"/>
        <scheme val="minor"/>
      </font>
      <fill>
        <patternFill patternType="solid">
          <fgColor theme="6" tint="0.59999389629810485"/>
          <bgColor theme="6"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6" tint="0.59999389629810485"/>
          <bgColor theme="6" tint="0.59999389629810485"/>
        </patternFill>
      </fill>
      <border diagonalUp="0" diagonalDown="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6" tint="0.59999389629810485"/>
          <bgColor theme="6"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6" tint="0.59999389629810485"/>
          <bgColor theme="6"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6" tint="0.59999389629810485"/>
          <bgColor theme="6"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6" tint="0.59999389629810485"/>
          <bgColor theme="6" tint="0.59999389629810485"/>
        </patternFill>
      </fill>
      <border diagonalUp="0" diagonalDown="0">
        <left/>
        <right style="thin">
          <color theme="0"/>
        </right>
        <top style="thin">
          <color theme="0"/>
        </top>
        <bottom style="thin">
          <color theme="0"/>
        </bottom>
        <vertical/>
        <horizontal/>
      </border>
    </dxf>
    <dxf>
      <numFmt numFmtId="0" formatCode="General"/>
    </dxf>
    <dxf>
      <numFmt numFmtId="0" formatCode="General"/>
    </dxf>
    <dxf>
      <numFmt numFmtId="0" formatCode="General"/>
    </dxf>
    <dxf>
      <numFmt numFmtId="166" formatCode="0.0000"/>
    </dxf>
    <dxf>
      <numFmt numFmtId="166" formatCode="0.0000"/>
    </dxf>
    <dxf>
      <font>
        <b val="0"/>
        <i val="0"/>
        <strike val="0"/>
        <condense val="0"/>
        <extend val="0"/>
        <outline val="0"/>
        <shadow val="0"/>
        <u val="none"/>
        <vertAlign val="baseline"/>
        <sz val="11"/>
        <color theme="1"/>
        <name val="Calibri"/>
        <family val="2"/>
        <scheme val="minor"/>
      </font>
      <numFmt numFmtId="166" formatCode="0.0000"/>
      <fill>
        <patternFill patternType="solid">
          <fgColor theme="4" tint="0.79998168889431442"/>
          <bgColor theme="4" tint="0.79998168889431442"/>
        </patternFill>
      </fill>
      <border diagonalUp="0" diagonalDown="0">
        <left/>
        <right style="thin">
          <color theme="0"/>
        </right>
        <top style="thin">
          <color theme="0"/>
        </top>
        <bottom style="thin">
          <color theme="0"/>
        </bottom>
      </border>
    </dxf>
    <dxf>
      <font>
        <b val="0"/>
        <i val="0"/>
        <strike val="0"/>
        <condense val="0"/>
        <extend val="0"/>
        <outline val="0"/>
        <shadow val="0"/>
        <u val="none"/>
        <vertAlign val="baseline"/>
        <sz val="11"/>
        <color theme="1"/>
        <name val="Calibri"/>
        <family val="2"/>
        <scheme val="minor"/>
      </font>
      <numFmt numFmtId="2" formatCode="0.00"/>
      <fill>
        <patternFill patternType="solid">
          <fgColor theme="4" tint="0.79998168889431442"/>
          <bgColor theme="4" tint="0.79998168889431442"/>
        </patternFill>
      </fill>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outline="0">
        <left/>
        <right/>
        <top style="thin">
          <color theme="0"/>
        </top>
        <bottom style="thin">
          <color theme="0"/>
        </bottom>
      </border>
    </dxf>
    <dxf>
      <border outline="0">
        <top style="thin">
          <color theme="0"/>
        </top>
      </border>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family val="2"/>
        <scheme val="none"/>
      </font>
      <fill>
        <patternFill patternType="solid">
          <fgColor theme="4"/>
          <bgColor theme="4"/>
        </patternFill>
      </fill>
      <alignment horizontal="center" vertical="top" textRotation="0" wrapText="0" indent="0" justifyLastLine="0" shrinkToFit="0" readingOrder="0"/>
      <border diagonalUp="0" diagonalDown="0" outline="0">
        <left style="thin">
          <color auto="1"/>
        </left>
        <right style="thin">
          <color auto="1"/>
        </right>
        <top/>
        <bottom/>
      </border>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65" formatCode="\-0.00%"/>
    </dxf>
    <dxf>
      <numFmt numFmtId="14" formatCode="0.00%"/>
    </dxf>
    <dxf>
      <numFmt numFmtId="14" formatCode="0.00%"/>
    </dxf>
    <dxf>
      <numFmt numFmtId="164" formatCode="[$$-409]#,##0.00"/>
    </dxf>
    <dxf>
      <numFmt numFmtId="164" formatCode="[$$-409]#,##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microsoft.com/office/2007/relationships/slicerCache" Target="slicerCaches/slicerCache4.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microsoft.com/office/2007/relationships/slicerCache" Target="slicerCaches/slicerCache3.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[Crypto_Analysis_Data.xlsm]Pivot-Charts!PivotTable1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10 Coins by Price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'Pivot-Charts'!$B$1</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'Pivot-Charts'!$A$2:$A$12</c:f>
              <c:strCache>
                <c:ptCount val="10"/>
                <c:pt idx="0">
                  <c:v>Bitcoin</c:v>
                </c:pt>
                <c:pt idx="1">
                  <c:v>Ethereum</c:v>
                </c:pt>
                <c:pt idx="2">
                  <c:v>BNB</c:v>
                </c:pt>
                <c:pt idx="3">
                  <c:v>Solana</c:v>
                </c:pt>
                <c:pt idx="4">
                  <c:v>Zcash</c:v>
                </c:pt>
                <c:pt idx="5">
                  <c:v>AIHub</c:v>
                </c:pt>
                <c:pt idx="6">
                  <c:v>Tornado Cash</c:v>
                </c:pt>
                <c:pt idx="7">
                  <c:v>Bounce Token</c:v>
                </c:pt>
                <c:pt idx="8">
                  <c:v>Stonks</c:v>
                </c:pt>
                <c:pt idx="9">
                  <c:v>DeXe</c:v>
                </c:pt>
              </c:strCache>
            </c:strRef>
          </c:cat>
          <c:val>
            <c:numRef>
              <c:f>'Pivot-Charts'!$B$2:$B$12</c:f>
              <c:numCache>
                <c:formatCode>General</c:formatCode>
                <c:ptCount val="10"/>
                <c:pt idx="0">
                  <c:v>112396.23</c:v>
                </c:pt>
                <c:pt idx="1">
                  <c:v>4631.6899999999996</c:v>
                </c:pt>
                <c:pt idx="2">
                  <c:v>864.91</c:v>
                </c:pt>
                <c:pt idx="3">
                  <c:v>208.97</c:v>
                </c:pt>
                <c:pt idx="4">
                  <c:v>42.45</c:v>
                </c:pt>
                <c:pt idx="5">
                  <c:v>16.850000000000001</c:v>
                </c:pt>
                <c:pt idx="6">
                  <c:v>11.79</c:v>
                </c:pt>
                <c:pt idx="7">
                  <c:v>10.119999999999999</c:v>
                </c:pt>
                <c:pt idx="8">
                  <c:v>9.06</c:v>
                </c:pt>
                <c:pt idx="9">
                  <c:v>7.42</c:v>
                </c:pt>
              </c:numCache>
            </c:numRef>
          </c:val>
          <c:extLst>
            <c:ext xmlns:c16="http://schemas.microsoft.com/office/drawing/2014/chart" uri="{C3380CC4-5D6E-409C-BE32-E72D297353CC}">
              <c16:uniqueId val="{00000000-4280-4C1A-9F59-305864C1205D}"/>
            </c:ext>
          </c:extLst>
        </c:ser>
        <c:dLbls>
          <c:dLblPos val="inEnd"/>
          <c:showLegendKey val="0"/>
          <c:showVal val="1"/>
          <c:showCatName val="0"/>
          <c:showSerName val="0"/>
          <c:showPercent val="0"/>
          <c:showBubbleSize val="0"/>
        </c:dLbls>
        <c:gapWidth val="100"/>
        <c:overlap val="-24"/>
        <c:axId val="1928878895"/>
        <c:axId val="1928879375"/>
      </c:barChart>
      <c:catAx>
        <c:axId val="192887889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28879375"/>
        <c:crosses val="autoZero"/>
        <c:auto val="1"/>
        <c:lblAlgn val="ctr"/>
        <c:lblOffset val="100"/>
        <c:noMultiLvlLbl val="0"/>
      </c:catAx>
      <c:valAx>
        <c:axId val="19288793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288788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[Crypto_Analysis_Data.xlsm]Pivot-Charts!PivotTable2</c:name>
    <c:fmtId val="3"/>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Top 10 Changes  in 1 hr</a:t>
            </a:r>
          </a:p>
        </c:rich>
      </c:tx>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D34817">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'Pivot-Charts'!$B$18</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D34817">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'Pivot-Charts'!$A$19:$A$29</c:f>
              <c:strCache>
                <c:ptCount val="10"/>
                <c:pt idx="0">
                  <c:v>Bellscoin</c:v>
                </c:pt>
                <c:pt idx="1">
                  <c:v>Expand</c:v>
                </c:pt>
                <c:pt idx="2">
                  <c:v>HODL Coin</c:v>
                </c:pt>
                <c:pt idx="3">
                  <c:v>Lion Cat</c:v>
                </c:pt>
                <c:pt idx="4">
                  <c:v>Lumera Health</c:v>
                </c:pt>
                <c:pt idx="5">
                  <c:v>Pain (paintoken.com)</c:v>
                </c:pt>
                <c:pt idx="6">
                  <c:v>SIGMA</c:v>
                </c:pt>
                <c:pt idx="7">
                  <c:v>Solchat</c:v>
                </c:pt>
                <c:pt idx="8">
                  <c:v>XPIN Network</c:v>
                </c:pt>
                <c:pt idx="9">
                  <c:v>XPLA</c:v>
                </c:pt>
              </c:strCache>
            </c:strRef>
          </c:cat>
          <c:val>
            <c:numRef>
              <c:f>'Pivot-Charts'!$B$19:$B$29</c:f>
              <c:numCache>
                <c:formatCode>General</c:formatCode>
                <c:ptCount val="10"/>
                <c:pt idx="0">
                  <c:v>2.5999999999999999E-2</c:v>
                </c:pt>
                <c:pt idx="1">
                  <c:v>1.83E-2</c:v>
                </c:pt>
                <c:pt idx="2">
                  <c:v>4.2700000000000002E-2</c:v>
                </c:pt>
                <c:pt idx="3">
                  <c:v>2.9399999999999999E-2</c:v>
                </c:pt>
                <c:pt idx="4">
                  <c:v>1.66E-2</c:v>
                </c:pt>
                <c:pt idx="5">
                  <c:v>2.8500000000000001E-2</c:v>
                </c:pt>
                <c:pt idx="6">
                  <c:v>1.6400000000000001E-2</c:v>
                </c:pt>
                <c:pt idx="7">
                  <c:v>1.6199999999999999E-2</c:v>
                </c:pt>
                <c:pt idx="8">
                  <c:v>3.6900000000000002E-2</c:v>
                </c:pt>
                <c:pt idx="9">
                  <c:v>2.1600000000000001E-2</c:v>
                </c:pt>
              </c:numCache>
            </c:numRef>
          </c:val>
          <c:extLst>
            <c:ext xmlns:c16="http://schemas.microsoft.com/office/drawing/2014/chart" uri="{C3380CC4-5D6E-409C-BE32-E72D297353CC}">
              <c16:uniqueId val="{00000000-396F-4DDC-B4E1-58EDC71C64BC}"/>
            </c:ext>
          </c:extLst>
        </c:ser>
        <c:dLbls>
          <c:showLegendKey val="0"/>
          <c:showVal val="1"/>
          <c:showCatName val="0"/>
          <c:showSerName val="0"/>
          <c:showPercent val="0"/>
          <c:showBubbleSize val="0"/>
        </c:dLbls>
        <c:gapWidth val="84"/>
        <c:gapDepth val="53"/>
        <c:shape val="box"/>
        <c:axId val="6564079"/>
        <c:axId val="6553999"/>
        <c:axId val="0"/>
      </c:bar3DChart>
      <c:catAx>
        <c:axId val="65640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553999"/>
        <c:crosses val="autoZero"/>
        <c:auto val="1"/>
        <c:lblAlgn val="ctr"/>
        <c:lblOffset val="100"/>
        <c:noMultiLvlLbl val="0"/>
      </c:catAx>
      <c:valAx>
        <c:axId val="6553999"/>
        <c:scaling>
          <c:orientation val="minMax"/>
        </c:scaling>
        <c:delete val="1"/>
        <c:axPos val="b"/>
        <c:numFmt formatCode="General" sourceLinked="1"/>
        <c:majorTickMark val="out"/>
        <c:minorTickMark val="none"/>
        <c:tickLblPos val="nextTo"/>
        <c:crossAx val="6564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[Crypto_Analysis_Data.xlsm]Pivot-Charts!PivotTable3</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Price vs Volume</a:t>
            </a:r>
            <a:r>
              <a:rPr lang="en-US" baseline="0"/>
              <a:t> Supply</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'Pivot-Charts'!$B$35</c:f>
              <c:strCache>
                <c:ptCount val="1"/>
                <c:pt idx="0">
                  <c:v> Price (USD)</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'Pivot-Charts'!$A$36:$A$46</c:f>
              <c:strCache>
                <c:ptCount val="10"/>
                <c:pt idx="0">
                  <c:v>Bitcoin</c:v>
                </c:pt>
                <c:pt idx="1">
                  <c:v>BNB</c:v>
                </c:pt>
                <c:pt idx="2">
                  <c:v>Bounce Token</c:v>
                </c:pt>
                <c:pt idx="3">
                  <c:v>Ethereum</c:v>
                </c:pt>
                <c:pt idx="4">
                  <c:v>Lumera Health</c:v>
                </c:pt>
                <c:pt idx="5">
                  <c:v>MetYa</c:v>
                </c:pt>
                <c:pt idx="6">
                  <c:v>Solana</c:v>
                </c:pt>
                <c:pt idx="7">
                  <c:v>StablR USD</c:v>
                </c:pt>
                <c:pt idx="8">
                  <c:v>Tether</c:v>
                </c:pt>
                <c:pt idx="9">
                  <c:v>Zcash</c:v>
                </c:pt>
              </c:strCache>
            </c:strRef>
          </c:cat>
          <c:val>
            <c:numRef>
              <c:f>'Pivot-Charts'!$B$36:$B$46</c:f>
              <c:numCache>
                <c:formatCode>General</c:formatCode>
                <c:ptCount val="10"/>
                <c:pt idx="0">
                  <c:v>112396.23</c:v>
                </c:pt>
                <c:pt idx="1">
                  <c:v>864.91</c:v>
                </c:pt>
                <c:pt idx="2">
                  <c:v>10.119999999999999</c:v>
                </c:pt>
                <c:pt idx="3">
                  <c:v>4631.6899999999996</c:v>
                </c:pt>
                <c:pt idx="4">
                  <c:v>2.63</c:v>
                </c:pt>
                <c:pt idx="5">
                  <c:v>0.249</c:v>
                </c:pt>
                <c:pt idx="6">
                  <c:v>208.97</c:v>
                </c:pt>
                <c:pt idx="7">
                  <c:v>0.99929999999999997</c:v>
                </c:pt>
                <c:pt idx="8">
                  <c:v>1</c:v>
                </c:pt>
                <c:pt idx="9">
                  <c:v>42.45</c:v>
                </c:pt>
              </c:numCache>
            </c:numRef>
          </c:val>
          <c:extLst>
            <c:ext xmlns:c16="http://schemas.microsoft.com/office/drawing/2014/chart" uri="{C3380CC4-5D6E-409C-BE32-E72D297353CC}">
              <c16:uniqueId val="{00000000-A024-4259-9325-5796341D5A29}"/>
            </c:ext>
          </c:extLst>
        </c:ser>
        <c:ser>
          <c:idx val="1"/>
          <c:order val="1"/>
          <c:tx>
            <c:strRef>
              <c:f>'Pivot-Charts'!$C$35</c:f>
              <c:strCache>
                <c:ptCount val="1"/>
                <c:pt idx="0">
                  <c:v>Sum of $Volume per Supply</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'Pivot-Charts'!$A$36:$A$46</c:f>
              <c:strCache>
                <c:ptCount val="10"/>
                <c:pt idx="0">
                  <c:v>Bitcoin</c:v>
                </c:pt>
                <c:pt idx="1">
                  <c:v>BNB</c:v>
                </c:pt>
                <c:pt idx="2">
                  <c:v>Bounce Token</c:v>
                </c:pt>
                <c:pt idx="3">
                  <c:v>Ethereum</c:v>
                </c:pt>
                <c:pt idx="4">
                  <c:v>Lumera Health</c:v>
                </c:pt>
                <c:pt idx="5">
                  <c:v>MetYa</c:v>
                </c:pt>
                <c:pt idx="6">
                  <c:v>Solana</c:v>
                </c:pt>
                <c:pt idx="7">
                  <c:v>StablR USD</c:v>
                </c:pt>
                <c:pt idx="8">
                  <c:v>Tether</c:v>
                </c:pt>
                <c:pt idx="9">
                  <c:v>Zcash</c:v>
                </c:pt>
              </c:strCache>
            </c:strRef>
          </c:cat>
          <c:val>
            <c:numRef>
              <c:f>'Pivot-Charts'!$C$36:$C$46</c:f>
              <c:numCache>
                <c:formatCode>General</c:formatCode>
                <c:ptCount val="10"/>
                <c:pt idx="0">
                  <c:v>3073.6519340030136</c:v>
                </c:pt>
                <c:pt idx="1">
                  <c:v>16.360382876220562</c:v>
                </c:pt>
                <c:pt idx="2">
                  <c:v>4.5658226600985223</c:v>
                </c:pt>
                <c:pt idx="3">
                  <c:v>362.17572245236124</c:v>
                </c:pt>
                <c:pt idx="4">
                  <c:v>0.62520384615384617</c:v>
                </c:pt>
                <c:pt idx="5">
                  <c:v>0.38257109462800631</c:v>
                </c:pt>
                <c:pt idx="6">
                  <c:v>18.730564196274994</c:v>
                </c:pt>
                <c:pt idx="7">
                  <c:v>5.7061885227272731</c:v>
                </c:pt>
                <c:pt idx="8">
                  <c:v>0.70126850046052636</c:v>
                </c:pt>
                <c:pt idx="9">
                  <c:v>4.3963110012360938</c:v>
                </c:pt>
              </c:numCache>
            </c:numRef>
          </c:val>
          <c:extLst>
            <c:ext xmlns:c16="http://schemas.microsoft.com/office/drawing/2014/chart" uri="{C3380CC4-5D6E-409C-BE32-E72D297353CC}">
              <c16:uniqueId val="{00000001-A024-4259-9325-5796341D5A29}"/>
            </c:ext>
          </c:extLst>
        </c:ser>
        <c:dLbls>
          <c:showLegendKey val="0"/>
          <c:showVal val="0"/>
          <c:showCatName val="0"/>
          <c:showSerName val="0"/>
          <c:showPercent val="0"/>
          <c:showBubbleSize val="0"/>
        </c:dLbls>
        <c:gapWidth val="100"/>
        <c:overlap val="-24"/>
        <c:axId val="1802685791"/>
        <c:axId val="1802681951"/>
      </c:barChart>
      <c:catAx>
        <c:axId val="180268579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02681951"/>
        <c:crosses val="autoZero"/>
        <c:auto val="1"/>
        <c:lblAlgn val="ctr"/>
        <c:lblOffset val="100"/>
        <c:noMultiLvlLbl val="0"/>
      </c:catAx>
      <c:valAx>
        <c:axId val="180268195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026857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Market</a:t>
            </a:r>
            <a:r>
              <a:rPr lang="en-US" baseline="0"/>
              <a:t> Capital Shares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pieChart>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4EC6-4715-9F28-866038A91671}"/>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4EC6-4715-9F28-866038A91671}"/>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4EC6-4715-9F28-866038A91671}"/>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4EC6-4715-9F28-866038A91671}"/>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4EC6-4715-9F28-866038A91671}"/>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4EC6-4715-9F28-866038A9167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'Pivot-Charts'!$T$3:$T$8</c:f>
              <c:strCache>
                <c:ptCount val="6"/>
                <c:pt idx="0">
                  <c:v>Bitcoin</c:v>
                </c:pt>
                <c:pt idx="1">
                  <c:v>Ethereum</c:v>
                </c:pt>
                <c:pt idx="2">
                  <c:v>XRP</c:v>
                </c:pt>
                <c:pt idx="3">
                  <c:v>Tether</c:v>
                </c:pt>
                <c:pt idx="4">
                  <c:v>BNB</c:v>
                </c:pt>
                <c:pt idx="5">
                  <c:v>Others</c:v>
                </c:pt>
              </c:strCache>
            </c:strRef>
          </c:cat>
          <c:val>
            <c:numRef>
              <c:f>'Pivot-Charts'!$U$3:$U$8</c:f>
              <c:numCache>
                <c:formatCode>General</c:formatCode>
                <c:ptCount val="6"/>
                <c:pt idx="0">
                  <c:v>2236591973065</c:v>
                </c:pt>
                <c:pt idx="1">
                  <c:v>558774287294</c:v>
                </c:pt>
                <c:pt idx="2">
                  <c:v>179761935139</c:v>
                </c:pt>
                <c:pt idx="3">
                  <c:v>167211922205</c:v>
                </c:pt>
                <c:pt idx="4">
                  <c:v>120460279991</c:v>
                </c:pt>
                <c:pt idx="5">
                  <c:v>300038169740</c:v>
                </c:pt>
              </c:numCache>
            </c:numRef>
          </c:val>
          <c:extLst>
            <c:ext xmlns:c16="http://schemas.microsoft.com/office/drawing/2014/chart" uri="{C3380CC4-5D6E-409C-BE32-E72D297353CC}">
              <c16:uniqueId val="{00000000-51B1-47E1-835C-42474D01A7F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[Crypto_Analysis_Data.xlsm]Pivot-Charts!PivotTable1</c:name>
    <c:fmtId val="1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10 Coins by Price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'Pivot-Charts'!$B$1</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'Pivot-Charts'!$A$2:$A$12</c:f>
              <c:strCache>
                <c:ptCount val="10"/>
                <c:pt idx="0">
                  <c:v>Bitcoin</c:v>
                </c:pt>
                <c:pt idx="1">
                  <c:v>Ethereum</c:v>
                </c:pt>
                <c:pt idx="2">
                  <c:v>BNB</c:v>
                </c:pt>
                <c:pt idx="3">
                  <c:v>Solana</c:v>
                </c:pt>
                <c:pt idx="4">
                  <c:v>Zcash</c:v>
                </c:pt>
                <c:pt idx="5">
                  <c:v>AIHub</c:v>
                </c:pt>
                <c:pt idx="6">
                  <c:v>Tornado Cash</c:v>
                </c:pt>
                <c:pt idx="7">
                  <c:v>Bounce Token</c:v>
                </c:pt>
                <c:pt idx="8">
                  <c:v>Stonks</c:v>
                </c:pt>
                <c:pt idx="9">
                  <c:v>DeXe</c:v>
                </c:pt>
              </c:strCache>
            </c:strRef>
          </c:cat>
          <c:val>
            <c:numRef>
              <c:f>'Pivot-Charts'!$B$2:$B$12</c:f>
              <c:numCache>
                <c:formatCode>General</c:formatCode>
                <c:ptCount val="10"/>
                <c:pt idx="0">
                  <c:v>112396.23</c:v>
                </c:pt>
                <c:pt idx="1">
                  <c:v>4631.6899999999996</c:v>
                </c:pt>
                <c:pt idx="2">
                  <c:v>864.91</c:v>
                </c:pt>
                <c:pt idx="3">
                  <c:v>208.97</c:v>
                </c:pt>
                <c:pt idx="4">
                  <c:v>42.45</c:v>
                </c:pt>
                <c:pt idx="5">
                  <c:v>16.850000000000001</c:v>
                </c:pt>
                <c:pt idx="6">
                  <c:v>11.79</c:v>
                </c:pt>
                <c:pt idx="7">
                  <c:v>10.119999999999999</c:v>
                </c:pt>
                <c:pt idx="8">
                  <c:v>9.06</c:v>
                </c:pt>
                <c:pt idx="9">
                  <c:v>7.42</c:v>
                </c:pt>
              </c:numCache>
            </c:numRef>
          </c:val>
          <c:extLst>
            <c:ext xmlns:c16="http://schemas.microsoft.com/office/drawing/2014/chart" uri="{C3380CC4-5D6E-409C-BE32-E72D297353CC}">
              <c16:uniqueId val="{00000000-BFD8-49B4-8D49-D6C52D97BD72}"/>
            </c:ext>
          </c:extLst>
        </c:ser>
        <c:dLbls>
          <c:dLblPos val="inEnd"/>
          <c:showLegendKey val="0"/>
          <c:showVal val="1"/>
          <c:showCatName val="0"/>
          <c:showSerName val="0"/>
          <c:showPercent val="0"/>
          <c:showBubbleSize val="0"/>
        </c:dLbls>
        <c:gapWidth val="100"/>
        <c:overlap val="-24"/>
        <c:axId val="1928878895"/>
        <c:axId val="1928879375"/>
      </c:barChart>
      <c:catAx>
        <c:axId val="192887889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28879375"/>
        <c:crosses val="autoZero"/>
        <c:auto val="1"/>
        <c:lblAlgn val="ctr"/>
        <c:lblOffset val="100"/>
        <c:noMultiLvlLbl val="0"/>
      </c:catAx>
      <c:valAx>
        <c:axId val="19288793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288788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glow rad="228600">
        <a:schemeClr val="accent1">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[Crypto_Analysis_Data.xlsm]Pivot-Charts!PivotTable2</c:name>
    <c:fmtId val="17"/>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Top 10 Changes  in 1 hr</a:t>
            </a:r>
          </a:p>
        </c:rich>
      </c:tx>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D34817">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D34817">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D34817">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'Pivot-Charts'!$B$18</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D34817">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'Pivot-Charts'!$A$19:$A$29</c:f>
              <c:strCache>
                <c:ptCount val="10"/>
                <c:pt idx="0">
                  <c:v>Bellscoin</c:v>
                </c:pt>
                <c:pt idx="1">
                  <c:v>Expand</c:v>
                </c:pt>
                <c:pt idx="2">
                  <c:v>HODL Coin</c:v>
                </c:pt>
                <c:pt idx="3">
                  <c:v>Lion Cat</c:v>
                </c:pt>
                <c:pt idx="4">
                  <c:v>Lumera Health</c:v>
                </c:pt>
                <c:pt idx="5">
                  <c:v>Pain (paintoken.com)</c:v>
                </c:pt>
                <c:pt idx="6">
                  <c:v>SIGMA</c:v>
                </c:pt>
                <c:pt idx="7">
                  <c:v>Solchat</c:v>
                </c:pt>
                <c:pt idx="8">
                  <c:v>XPIN Network</c:v>
                </c:pt>
                <c:pt idx="9">
                  <c:v>XPLA</c:v>
                </c:pt>
              </c:strCache>
            </c:strRef>
          </c:cat>
          <c:val>
            <c:numRef>
              <c:f>'Pivot-Charts'!$B$19:$B$29</c:f>
              <c:numCache>
                <c:formatCode>General</c:formatCode>
                <c:ptCount val="10"/>
                <c:pt idx="0">
                  <c:v>2.5999999999999999E-2</c:v>
                </c:pt>
                <c:pt idx="1">
                  <c:v>1.83E-2</c:v>
                </c:pt>
                <c:pt idx="2">
                  <c:v>4.2700000000000002E-2</c:v>
                </c:pt>
                <c:pt idx="3">
                  <c:v>2.9399999999999999E-2</c:v>
                </c:pt>
                <c:pt idx="4">
                  <c:v>1.66E-2</c:v>
                </c:pt>
                <c:pt idx="5">
                  <c:v>2.8500000000000001E-2</c:v>
                </c:pt>
                <c:pt idx="6">
                  <c:v>1.6400000000000001E-2</c:v>
                </c:pt>
                <c:pt idx="7">
                  <c:v>1.6199999999999999E-2</c:v>
                </c:pt>
                <c:pt idx="8">
                  <c:v>3.6900000000000002E-2</c:v>
                </c:pt>
                <c:pt idx="9">
                  <c:v>2.1600000000000001E-2</c:v>
                </c:pt>
              </c:numCache>
            </c:numRef>
          </c:val>
          <c:extLst>
            <c:ext xmlns:c16="http://schemas.microsoft.com/office/drawing/2014/chart" uri="{C3380CC4-5D6E-409C-BE32-E72D297353CC}">
              <c16:uniqueId val="{00000000-3828-4E0F-AD85-269F86C3F07A}"/>
            </c:ext>
          </c:extLst>
        </c:ser>
        <c:dLbls>
          <c:showLegendKey val="0"/>
          <c:showVal val="1"/>
          <c:showCatName val="0"/>
          <c:showSerName val="0"/>
          <c:showPercent val="0"/>
          <c:showBubbleSize val="0"/>
        </c:dLbls>
        <c:gapWidth val="84"/>
        <c:gapDepth val="53"/>
        <c:shape val="box"/>
        <c:axId val="6564079"/>
        <c:axId val="6553999"/>
        <c:axId val="0"/>
      </c:bar3DChart>
      <c:catAx>
        <c:axId val="65640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553999"/>
        <c:crosses val="autoZero"/>
        <c:auto val="1"/>
        <c:lblAlgn val="ctr"/>
        <c:lblOffset val="100"/>
        <c:noMultiLvlLbl val="0"/>
      </c:catAx>
      <c:valAx>
        <c:axId val="6553999"/>
        <c:scaling>
          <c:orientation val="minMax"/>
        </c:scaling>
        <c:delete val="1"/>
        <c:axPos val="b"/>
        <c:numFmt formatCode="General" sourceLinked="1"/>
        <c:majorTickMark val="out"/>
        <c:minorTickMark val="none"/>
        <c:tickLblPos val="nextTo"/>
        <c:crossAx val="6564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accent1">
          <a:lumMod val="50000"/>
        </a:schemeClr>
      </a:solidFill>
      <a:round/>
    </a:ln>
    <a:effectLst>
      <a:glow rad="228600">
        <a:schemeClr val="accent1">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[Crypto_Analysis_Data.xlsm]Pivot-Charts!PivotTable3</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Price vs Volume</a:t>
            </a:r>
            <a:r>
              <a:rPr lang="en-US" baseline="0"/>
              <a:t> Supply</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'Pivot-Charts'!$B$35</c:f>
              <c:strCache>
                <c:ptCount val="1"/>
                <c:pt idx="0">
                  <c:v> Price (USD)</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'Pivot-Charts'!$A$36:$A$46</c:f>
              <c:strCache>
                <c:ptCount val="10"/>
                <c:pt idx="0">
                  <c:v>Bitcoin</c:v>
                </c:pt>
                <c:pt idx="1">
                  <c:v>BNB</c:v>
                </c:pt>
                <c:pt idx="2">
                  <c:v>Bounce Token</c:v>
                </c:pt>
                <c:pt idx="3">
                  <c:v>Ethereum</c:v>
                </c:pt>
                <c:pt idx="4">
                  <c:v>Lumera Health</c:v>
                </c:pt>
                <c:pt idx="5">
                  <c:v>MetYa</c:v>
                </c:pt>
                <c:pt idx="6">
                  <c:v>Solana</c:v>
                </c:pt>
                <c:pt idx="7">
                  <c:v>StablR USD</c:v>
                </c:pt>
                <c:pt idx="8">
                  <c:v>Tether</c:v>
                </c:pt>
                <c:pt idx="9">
                  <c:v>Zcash</c:v>
                </c:pt>
              </c:strCache>
            </c:strRef>
          </c:cat>
          <c:val>
            <c:numRef>
              <c:f>'Pivot-Charts'!$B$36:$B$46</c:f>
              <c:numCache>
                <c:formatCode>General</c:formatCode>
                <c:ptCount val="10"/>
                <c:pt idx="0">
                  <c:v>112396.23</c:v>
                </c:pt>
                <c:pt idx="1">
                  <c:v>864.91</c:v>
                </c:pt>
                <c:pt idx="2">
                  <c:v>10.119999999999999</c:v>
                </c:pt>
                <c:pt idx="3">
                  <c:v>4631.6899999999996</c:v>
                </c:pt>
                <c:pt idx="4">
                  <c:v>2.63</c:v>
                </c:pt>
                <c:pt idx="5">
                  <c:v>0.249</c:v>
                </c:pt>
                <c:pt idx="6">
                  <c:v>208.97</c:v>
                </c:pt>
                <c:pt idx="7">
                  <c:v>0.99929999999999997</c:v>
                </c:pt>
                <c:pt idx="8">
                  <c:v>1</c:v>
                </c:pt>
                <c:pt idx="9">
                  <c:v>42.45</c:v>
                </c:pt>
              </c:numCache>
            </c:numRef>
          </c:val>
          <c:extLst>
            <c:ext xmlns:c16="http://schemas.microsoft.com/office/drawing/2014/chart" uri="{C3380CC4-5D6E-409C-BE32-E72D297353CC}">
              <c16:uniqueId val="{00000000-7ACC-4606-901A-2C872397CD88}"/>
            </c:ext>
          </c:extLst>
        </c:ser>
        <c:ser>
          <c:idx val="1"/>
          <c:order val="1"/>
          <c:tx>
            <c:strRef>
              <c:f>'Pivot-Charts'!$C$35</c:f>
              <c:strCache>
                <c:ptCount val="1"/>
                <c:pt idx="0">
                  <c:v>Sum of $Volume per Supply</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'Pivot-Charts'!$A$36:$A$46</c:f>
              <c:strCache>
                <c:ptCount val="10"/>
                <c:pt idx="0">
                  <c:v>Bitcoin</c:v>
                </c:pt>
                <c:pt idx="1">
                  <c:v>BNB</c:v>
                </c:pt>
                <c:pt idx="2">
                  <c:v>Bounce Token</c:v>
                </c:pt>
                <c:pt idx="3">
                  <c:v>Ethereum</c:v>
                </c:pt>
                <c:pt idx="4">
                  <c:v>Lumera Health</c:v>
                </c:pt>
                <c:pt idx="5">
                  <c:v>MetYa</c:v>
                </c:pt>
                <c:pt idx="6">
                  <c:v>Solana</c:v>
                </c:pt>
                <c:pt idx="7">
                  <c:v>StablR USD</c:v>
                </c:pt>
                <c:pt idx="8">
                  <c:v>Tether</c:v>
                </c:pt>
                <c:pt idx="9">
                  <c:v>Zcash</c:v>
                </c:pt>
              </c:strCache>
            </c:strRef>
          </c:cat>
          <c:val>
            <c:numRef>
              <c:f>'Pivot-Charts'!$C$36:$C$46</c:f>
              <c:numCache>
                <c:formatCode>General</c:formatCode>
                <c:ptCount val="10"/>
                <c:pt idx="0">
                  <c:v>3073.6519340030136</c:v>
                </c:pt>
                <c:pt idx="1">
                  <c:v>16.360382876220562</c:v>
                </c:pt>
                <c:pt idx="2">
                  <c:v>4.5658226600985223</c:v>
                </c:pt>
                <c:pt idx="3">
                  <c:v>362.17572245236124</c:v>
                </c:pt>
                <c:pt idx="4">
                  <c:v>0.62520384615384617</c:v>
                </c:pt>
                <c:pt idx="5">
                  <c:v>0.38257109462800631</c:v>
                </c:pt>
                <c:pt idx="6">
                  <c:v>18.730564196274994</c:v>
                </c:pt>
                <c:pt idx="7">
                  <c:v>5.7061885227272731</c:v>
                </c:pt>
                <c:pt idx="8">
                  <c:v>0.70126850046052636</c:v>
                </c:pt>
                <c:pt idx="9">
                  <c:v>4.3963110012360938</c:v>
                </c:pt>
              </c:numCache>
            </c:numRef>
          </c:val>
          <c:extLst>
            <c:ext xmlns:c16="http://schemas.microsoft.com/office/drawing/2014/chart" uri="{C3380CC4-5D6E-409C-BE32-E72D297353CC}">
              <c16:uniqueId val="{00000001-7ACC-4606-901A-2C872397CD88}"/>
            </c:ext>
          </c:extLst>
        </c:ser>
        <c:dLbls>
          <c:showLegendKey val="0"/>
          <c:showVal val="0"/>
          <c:showCatName val="0"/>
          <c:showSerName val="0"/>
          <c:showPercent val="0"/>
          <c:showBubbleSize val="0"/>
        </c:dLbls>
        <c:gapWidth val="100"/>
        <c:overlap val="-24"/>
        <c:axId val="1802685791"/>
        <c:axId val="1802681951"/>
      </c:barChart>
      <c:catAx>
        <c:axId val="180268579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02681951"/>
        <c:crosses val="autoZero"/>
        <c:auto val="1"/>
        <c:lblAlgn val="ctr"/>
        <c:lblOffset val="100"/>
        <c:noMultiLvlLbl val="0"/>
      </c:catAx>
      <c:valAx>
        <c:axId val="180268195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026857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glow rad="228600">
        <a:schemeClr val="accent1">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Market</a:t>
            </a:r>
            <a:r>
              <a:rPr lang="en-US" baseline="0"/>
              <a:t> Capital Shares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pieChart>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0A52-4ACA-BC5C-1C7985FB4DDA}"/>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0A52-4ACA-BC5C-1C7985FB4DDA}"/>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0A52-4ACA-BC5C-1C7985FB4DDA}"/>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0A52-4ACA-BC5C-1C7985FB4DDA}"/>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0A52-4ACA-BC5C-1C7985FB4DDA}"/>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0A52-4ACA-BC5C-1C7985FB4DD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'Pivot-Charts'!$T$3:$T$8</c:f>
              <c:strCache>
                <c:ptCount val="6"/>
                <c:pt idx="0">
                  <c:v>Bitcoin</c:v>
                </c:pt>
                <c:pt idx="1">
                  <c:v>Ethereum</c:v>
                </c:pt>
                <c:pt idx="2">
                  <c:v>XRP</c:v>
                </c:pt>
                <c:pt idx="3">
                  <c:v>Tether</c:v>
                </c:pt>
                <c:pt idx="4">
                  <c:v>BNB</c:v>
                </c:pt>
                <c:pt idx="5">
                  <c:v>Others</c:v>
                </c:pt>
              </c:strCache>
            </c:strRef>
          </c:cat>
          <c:val>
            <c:numRef>
              <c:f>'Pivot-Charts'!$U$3:$U$8</c:f>
              <c:numCache>
                <c:formatCode>General</c:formatCode>
                <c:ptCount val="6"/>
                <c:pt idx="0">
                  <c:v>2236591973065</c:v>
                </c:pt>
                <c:pt idx="1">
                  <c:v>558774287294</c:v>
                </c:pt>
                <c:pt idx="2">
                  <c:v>179761935139</c:v>
                </c:pt>
                <c:pt idx="3">
                  <c:v>167211922205</c:v>
                </c:pt>
                <c:pt idx="4">
                  <c:v>120460279991</c:v>
                </c:pt>
                <c:pt idx="5">
                  <c:v>300038169740</c:v>
                </c:pt>
              </c:numCache>
            </c:numRef>
          </c:val>
          <c:extLst>
            <c:ext xmlns:c16="http://schemas.microsoft.com/office/drawing/2014/chart" uri="{C3380CC4-5D6E-409C-BE32-E72D297353CC}">
              <c16:uniqueId val="{0000000C-0A52-4ACA-BC5C-1C7985FB4DD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glow rad="228600">
        <a:schemeClr val="accent1">
          <a:satMod val="175000"/>
          <a:alpha val="40000"/>
        </a:schemeClr>
      </a:glow>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7 days vs 24 hrs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6"/>
          <c:order val="5"/>
          <c:tx>
            <c:strRef>
              <c:f>'Task 2'!$H$1</c:f>
              <c:strCache>
                <c:ptCount val="1"/>
                <c:pt idx="0">
                  <c:v>7-Day Before Price</c:v>
                </c:pt>
              </c:strCache>
            </c:strRef>
          </c:tx>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'Task 2'!$A$2:$A$16</c:f>
              <c:strCache>
                <c:ptCount val="10"/>
                <c:pt idx="0">
                  <c:v>Fasttoken</c:v>
                </c:pt>
                <c:pt idx="1">
                  <c:v>Vana</c:v>
                </c:pt>
                <c:pt idx="2">
                  <c:v>Counterparty</c:v>
                </c:pt>
                <c:pt idx="3">
                  <c:v>XRP</c:v>
                </c:pt>
                <c:pt idx="4">
                  <c:v>BIM</c:v>
                </c:pt>
                <c:pt idx="5">
                  <c:v>Lumera Health</c:v>
                </c:pt>
                <c:pt idx="6">
                  <c:v>Gains Network</c:v>
                </c:pt>
                <c:pt idx="7">
                  <c:v>Zeebu</c:v>
                </c:pt>
                <c:pt idx="8">
                  <c:v>Apertum</c:v>
                </c:pt>
                <c:pt idx="9">
                  <c:v>Pain (paintoken.com)</c:v>
                </c:pt>
              </c:strCache>
            </c:strRef>
          </c:cat>
          <c:val>
            <c:numRef>
              <c:f>'Task 2'!$H$2:$H$16</c:f>
              <c:numCache>
                <c:formatCode>General</c:formatCode>
                <c:ptCount val="10"/>
                <c:pt idx="0">
                  <c:v>4.5369511688145563</c:v>
                </c:pt>
                <c:pt idx="1">
                  <c:v>4.2265089833252256</c:v>
                </c:pt>
                <c:pt idx="2">
                  <c:v>3.3748971555008827</c:v>
                </c:pt>
                <c:pt idx="3">
                  <c:v>2.997340108777641</c:v>
                </c:pt>
                <c:pt idx="4">
                  <c:v>2.873723787248649</c:v>
                </c:pt>
                <c:pt idx="5">
                  <c:v>2.5586445215821181</c:v>
                </c:pt>
                <c:pt idx="6">
                  <c:v>2.1587571925412448</c:v>
                </c:pt>
                <c:pt idx="7">
                  <c:v>1.9347992595902215</c:v>
                </c:pt>
                <c:pt idx="8">
                  <c:v>1.6172829646194395</c:v>
                </c:pt>
                <c:pt idx="9">
                  <c:v>1.3169446883230904</c:v>
                </c:pt>
              </c:numCache>
            </c:numRef>
          </c:val>
          <c:extLst>
            <c:ext xmlns:c16="http://schemas.microsoft.com/office/drawing/2014/chart" uri="{C3380CC4-5D6E-409C-BE32-E72D297353CC}">
              <c16:uniqueId val="{00000006-27EE-41CA-BABF-009FEC8FAFF5}"/>
            </c:ext>
          </c:extLst>
        </c:ser>
        <c:ser>
          <c:idx val="5"/>
          <c:order val="6"/>
          <c:tx>
            <c:strRef>
              <c:f>'Task 2'!$G$1</c:f>
              <c:strCache>
                <c:ptCount val="1"/>
                <c:pt idx="0">
                  <c:v>24-Hour Before Price (Decrease)</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'Task 2'!$A$2:$A$16</c:f>
              <c:strCache>
                <c:ptCount val="10"/>
                <c:pt idx="0">
                  <c:v>Fasttoken</c:v>
                </c:pt>
                <c:pt idx="1">
                  <c:v>Vana</c:v>
                </c:pt>
                <c:pt idx="2">
                  <c:v>Counterparty</c:v>
                </c:pt>
                <c:pt idx="3">
                  <c:v>XRP</c:v>
                </c:pt>
                <c:pt idx="4">
                  <c:v>BIM</c:v>
                </c:pt>
                <c:pt idx="5">
                  <c:v>Lumera Health</c:v>
                </c:pt>
                <c:pt idx="6">
                  <c:v>Gains Network</c:v>
                </c:pt>
                <c:pt idx="7">
                  <c:v>Zeebu</c:v>
                </c:pt>
                <c:pt idx="8">
                  <c:v>Apertum</c:v>
                </c:pt>
                <c:pt idx="9">
                  <c:v>Pain (paintoken.com)</c:v>
                </c:pt>
              </c:strCache>
            </c:strRef>
          </c:cat>
          <c:val>
            <c:numRef>
              <c:f>'Task 2'!$G$2:$G$16</c:f>
              <c:numCache>
                <c:formatCode>General</c:formatCode>
                <c:ptCount val="10"/>
                <c:pt idx="0">
                  <c:v>4.5404358818446573</c:v>
                </c:pt>
                <c:pt idx="1">
                  <c:v>4.2419343220508559</c:v>
                </c:pt>
                <c:pt idx="2">
                  <c:v>3.38073023773135</c:v>
                </c:pt>
                <c:pt idx="3">
                  <c:v>3.0232651263364434</c:v>
                </c:pt>
                <c:pt idx="4">
                  <c:v>2.8808988404382165</c:v>
                </c:pt>
                <c:pt idx="5">
                  <c:v>2.6405198310067308</c:v>
                </c:pt>
                <c:pt idx="6">
                  <c:v>2.1716156820674581</c:v>
                </c:pt>
                <c:pt idx="7">
                  <c:v>1.9407452461745311</c:v>
                </c:pt>
                <c:pt idx="8">
                  <c:v>1.6203888933344004</c:v>
                </c:pt>
                <c:pt idx="9">
                  <c:v>1.3895042087881104</c:v>
                </c:pt>
              </c:numCache>
            </c:numRef>
          </c:val>
          <c:extLst>
            <c:ext xmlns:c16="http://schemas.microsoft.com/office/drawing/2014/chart" uri="{C3380CC4-5D6E-409C-BE32-E72D297353CC}">
              <c16:uniqueId val="{00000005-27EE-41CA-BABF-009FEC8FAFF5}"/>
            </c:ext>
          </c:extLst>
        </c:ser>
        <c:dLbls>
          <c:dLblPos val="outEnd"/>
          <c:showLegendKey val="0"/>
          <c:showVal val="1"/>
          <c:showCatName val="0"/>
          <c:showSerName val="0"/>
          <c:showPercent val="0"/>
          <c:showBubbleSize val="0"/>
        </c:dLbls>
        <c:gapWidth val="100"/>
        <c:overlap val="-24"/>
        <c:axId val="1432733247"/>
        <c:axId val="1432751007"/>
        <c:extLst>
          <c:ext xmlns:c15="http://schemas.microsoft.com/office/drawing/2012/chart" uri="{02D57815-91ED-43cb-92C2-25804820EDAC}">
            <c15:filteredBarSeries>
              <c15:ser>
                <c:idx val="0"/>
                <c:order val="0"/>
                <c:tx>
                  <c:strRef>
                    <c:extLst>
                      <c:ext uri="{02D57815-91ED-43cb-92C2-25804820EDAC}">
                        <c15:formulaRef>
                          <c15:sqref>'Task 2'!$B$1</c15:sqref>
                        </c15:formulaRef>
                      </c:ext>
                    </c:extLst>
                    <c:strCache>
                      <c:ptCount val="1"/>
                      <c:pt idx="0">
                        <c:v>Price (USD)</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lt1">
                                <a:lumMod val="95000"/>
                                <a:alpha val="54000"/>
                              </a:schemeClr>
                            </a:solidFill>
                          </a:ln>
                          <a:effectLst/>
                        </c:spPr>
                      </c15:leaderLines>
                    </c:ext>
                  </c:extLst>
                </c:dLbls>
                <c:cat>
                  <c:strRef>
                    <c:extLst>
                      <c:ext uri="{02D57815-91ED-43cb-92C2-25804820EDAC}">
                        <c15:formulaRef>
                          <c15:sqref>'Task 2'!$A$2:$A$16</c15:sqref>
                        </c15:formulaRef>
                      </c:ext>
                    </c:extLst>
                    <c:strCache>
                      <c:ptCount val="10"/>
                      <c:pt idx="0">
                        <c:v>Fasttoken</c:v>
                      </c:pt>
                      <c:pt idx="1">
                        <c:v>Vana</c:v>
                      </c:pt>
                      <c:pt idx="2">
                        <c:v>Counterparty</c:v>
                      </c:pt>
                      <c:pt idx="3">
                        <c:v>XRP</c:v>
                      </c:pt>
                      <c:pt idx="4">
                        <c:v>BIM</c:v>
                      </c:pt>
                      <c:pt idx="5">
                        <c:v>Lumera Health</c:v>
                      </c:pt>
                      <c:pt idx="6">
                        <c:v>Gains Network</c:v>
                      </c:pt>
                      <c:pt idx="7">
                        <c:v>Zeebu</c:v>
                      </c:pt>
                      <c:pt idx="8">
                        <c:v>Apertum</c:v>
                      </c:pt>
                      <c:pt idx="9">
                        <c:v>Pain (paintoken.com)</c:v>
                      </c:pt>
                    </c:strCache>
                  </c:strRef>
                </c:cat>
                <c:val>
                  <c:numRef>
                    <c:extLst>
                      <c:ext uri="{02D57815-91ED-43cb-92C2-25804820EDAC}">
                        <c15:formulaRef>
                          <c15:sqref>'Task 2'!$B$2:$B$16</c15:sqref>
                        </c15:formulaRef>
                      </c:ext>
                    </c:extLst>
                    <c:numCache>
                      <c:formatCode>0.00</c:formatCode>
                      <c:ptCount val="10"/>
                      <c:pt idx="0">
                        <c:v>4.54</c:v>
                      </c:pt>
                      <c:pt idx="1">
                        <c:v>4.24</c:v>
                      </c:pt>
                      <c:pt idx="2">
                        <c:v>3.38</c:v>
                      </c:pt>
                      <c:pt idx="3">
                        <c:v>3.02</c:v>
                      </c:pt>
                      <c:pt idx="4">
                        <c:v>2.88</c:v>
                      </c:pt>
                      <c:pt idx="5">
                        <c:v>2.63</c:v>
                      </c:pt>
                      <c:pt idx="6">
                        <c:v>2.17</c:v>
                      </c:pt>
                      <c:pt idx="7">
                        <c:v>1.94</c:v>
                      </c:pt>
                      <c:pt idx="8">
                        <c:v>1.62</c:v>
                      </c:pt>
                      <c:pt idx="9">
                        <c:v>1.38</c:v>
                      </c:pt>
                    </c:numCache>
                  </c:numRef>
                </c:val>
                <c:extLst>
                  <c:ext xmlns:c16="http://schemas.microsoft.com/office/drawing/2014/chart" uri="{C3380CC4-5D6E-409C-BE32-E72D297353CC}">
                    <c16:uniqueId val="{00000000-27EE-41CA-BABF-009FEC8FAFF5}"/>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'Task 2'!$C$1</c15:sqref>
                        </c15:formulaRef>
                      </c:ext>
                    </c:extLst>
                    <c:strCache>
                      <c:ptCount val="1"/>
                      <c:pt idx="0">
                        <c:v>1h Change (%)</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'Task 2'!$A$2:$A$16</c15:sqref>
                        </c15:formulaRef>
                      </c:ext>
                    </c:extLst>
                    <c:strCache>
                      <c:ptCount val="10"/>
                      <c:pt idx="0">
                        <c:v>Fasttoken</c:v>
                      </c:pt>
                      <c:pt idx="1">
                        <c:v>Vana</c:v>
                      </c:pt>
                      <c:pt idx="2">
                        <c:v>Counterparty</c:v>
                      </c:pt>
                      <c:pt idx="3">
                        <c:v>XRP</c:v>
                      </c:pt>
                      <c:pt idx="4">
                        <c:v>BIM</c:v>
                      </c:pt>
                      <c:pt idx="5">
                        <c:v>Lumera Health</c:v>
                      </c:pt>
                      <c:pt idx="6">
                        <c:v>Gains Network</c:v>
                      </c:pt>
                      <c:pt idx="7">
                        <c:v>Zeebu</c:v>
                      </c:pt>
                      <c:pt idx="8">
                        <c:v>Apertum</c:v>
                      </c:pt>
                      <c:pt idx="9">
                        <c:v>Pain (paintoken.com)</c:v>
                      </c:pt>
                    </c:strCache>
                  </c:strRef>
                </c:cat>
                <c:val>
                  <c:numRef>
                    <c:extLst xmlns:c15="http://schemas.microsoft.com/office/drawing/2012/chart">
                      <c:ext xmlns:c15="http://schemas.microsoft.com/office/drawing/2012/chart" uri="{02D57815-91ED-43cb-92C2-25804820EDAC}">
                        <c15:formulaRef>
                          <c15:sqref>'Task 2'!$C$2:$C$16</c15:sqref>
                        </c15:formulaRef>
                      </c:ext>
                    </c:extLst>
                    <c:numCache>
                      <c:formatCode>0.0000</c:formatCode>
                      <c:ptCount val="10"/>
                      <c:pt idx="0">
                        <c:v>4.0000000000000002E-4</c:v>
                      </c:pt>
                      <c:pt idx="1">
                        <c:v>1.9E-3</c:v>
                      </c:pt>
                      <c:pt idx="2">
                        <c:v>8.9999999999999998E-4</c:v>
                      </c:pt>
                      <c:pt idx="3">
                        <c:v>4.4999999999999997E-3</c:v>
                      </c:pt>
                      <c:pt idx="4">
                        <c:v>1.2999999999999999E-3</c:v>
                      </c:pt>
                      <c:pt idx="5">
                        <c:v>1.66E-2</c:v>
                      </c:pt>
                      <c:pt idx="6">
                        <c:v>3.0999999999999999E-3</c:v>
                      </c:pt>
                      <c:pt idx="7">
                        <c:v>1.6000000000000001E-3</c:v>
                      </c:pt>
                      <c:pt idx="8">
                        <c:v>1E-3</c:v>
                      </c:pt>
                      <c:pt idx="9">
                        <c:v>2.8500000000000001E-2</c:v>
                      </c:pt>
                    </c:numCache>
                  </c:numRef>
                </c:val>
                <c:extLst xmlns:c15="http://schemas.microsoft.com/office/drawing/2012/chart">
                  <c:ext xmlns:c16="http://schemas.microsoft.com/office/drawing/2014/chart" uri="{C3380CC4-5D6E-409C-BE32-E72D297353CC}">
                    <c16:uniqueId val="{00000001-27EE-41CA-BABF-009FEC8FAFF5}"/>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'Task 2'!$D$1</c15:sqref>
                        </c15:formulaRef>
                      </c:ext>
                    </c:extLst>
                    <c:strCache>
                      <c:ptCount val="1"/>
                      <c:pt idx="0">
                        <c:v>24h Change (%)</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'Task 2'!$A$2:$A$16</c15:sqref>
                        </c15:formulaRef>
                      </c:ext>
                    </c:extLst>
                    <c:strCache>
                      <c:ptCount val="10"/>
                      <c:pt idx="0">
                        <c:v>Fasttoken</c:v>
                      </c:pt>
                      <c:pt idx="1">
                        <c:v>Vana</c:v>
                      </c:pt>
                      <c:pt idx="2">
                        <c:v>Counterparty</c:v>
                      </c:pt>
                      <c:pt idx="3">
                        <c:v>XRP</c:v>
                      </c:pt>
                      <c:pt idx="4">
                        <c:v>BIM</c:v>
                      </c:pt>
                      <c:pt idx="5">
                        <c:v>Lumera Health</c:v>
                      </c:pt>
                      <c:pt idx="6">
                        <c:v>Gains Network</c:v>
                      </c:pt>
                      <c:pt idx="7">
                        <c:v>Zeebu</c:v>
                      </c:pt>
                      <c:pt idx="8">
                        <c:v>Apertum</c:v>
                      </c:pt>
                      <c:pt idx="9">
                        <c:v>Pain (paintoken.com)</c:v>
                      </c:pt>
                    </c:strCache>
                  </c:strRef>
                </c:cat>
                <c:val>
                  <c:numRef>
                    <c:extLst xmlns:c15="http://schemas.microsoft.com/office/drawing/2012/chart">
                      <c:ext xmlns:c15="http://schemas.microsoft.com/office/drawing/2012/chart" uri="{02D57815-91ED-43cb-92C2-25804820EDAC}">
                        <c15:formulaRef>
                          <c15:sqref>'Task 2'!$D$2:$D$16</c15:sqref>
                        </c15:formulaRef>
                      </c:ext>
                    </c:extLst>
                    <c:numCache>
                      <c:formatCode>0.0000</c:formatCode>
                      <c:ptCount val="10"/>
                      <c:pt idx="0">
                        <c:v>9.6000000000000009E-3</c:v>
                      </c:pt>
                      <c:pt idx="1">
                        <c:v>4.5600000000000002E-2</c:v>
                      </c:pt>
                      <c:pt idx="2">
                        <c:v>2.1600000000000001E-2</c:v>
                      </c:pt>
                      <c:pt idx="3">
                        <c:v>0.10799999999999998</c:v>
                      </c:pt>
                      <c:pt idx="4">
                        <c:v>3.1199999999999999E-2</c:v>
                      </c:pt>
                      <c:pt idx="5">
                        <c:v>0.39839999999999998</c:v>
                      </c:pt>
                      <c:pt idx="6">
                        <c:v>7.4399999999999994E-2</c:v>
                      </c:pt>
                      <c:pt idx="7">
                        <c:v>3.8400000000000004E-2</c:v>
                      </c:pt>
                      <c:pt idx="8">
                        <c:v>2.4E-2</c:v>
                      </c:pt>
                      <c:pt idx="9">
                        <c:v>0.68400000000000005</c:v>
                      </c:pt>
                    </c:numCache>
                  </c:numRef>
                </c:val>
                <c:extLst xmlns:c15="http://schemas.microsoft.com/office/drawing/2012/chart">
                  <c:ext xmlns:c16="http://schemas.microsoft.com/office/drawing/2014/chart" uri="{C3380CC4-5D6E-409C-BE32-E72D297353CC}">
                    <c16:uniqueId val="{00000002-27EE-41CA-BABF-009FEC8FAFF5}"/>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'Task 2'!$E$1</c15:sqref>
                        </c15:formulaRef>
                      </c:ext>
                    </c:extLst>
                    <c:strCache>
                      <c:ptCount val="1"/>
                      <c:pt idx="0">
                        <c:v>7d Change (%)</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'Task 2'!$A$2:$A$16</c15:sqref>
                        </c15:formulaRef>
                      </c:ext>
                    </c:extLst>
                    <c:strCache>
                      <c:ptCount val="10"/>
                      <c:pt idx="0">
                        <c:v>Fasttoken</c:v>
                      </c:pt>
                      <c:pt idx="1">
                        <c:v>Vana</c:v>
                      </c:pt>
                      <c:pt idx="2">
                        <c:v>Counterparty</c:v>
                      </c:pt>
                      <c:pt idx="3">
                        <c:v>XRP</c:v>
                      </c:pt>
                      <c:pt idx="4">
                        <c:v>BIM</c:v>
                      </c:pt>
                      <c:pt idx="5">
                        <c:v>Lumera Health</c:v>
                      </c:pt>
                      <c:pt idx="6">
                        <c:v>Gains Network</c:v>
                      </c:pt>
                      <c:pt idx="7">
                        <c:v>Zeebu</c:v>
                      </c:pt>
                      <c:pt idx="8">
                        <c:v>Apertum</c:v>
                      </c:pt>
                      <c:pt idx="9">
                        <c:v>Pain (paintoken.com)</c:v>
                      </c:pt>
                    </c:strCache>
                  </c:strRef>
                </c:cat>
                <c:val>
                  <c:numRef>
                    <c:extLst xmlns:c15="http://schemas.microsoft.com/office/drawing/2012/chart">
                      <c:ext xmlns:c15="http://schemas.microsoft.com/office/drawing/2012/chart" uri="{02D57815-91ED-43cb-92C2-25804820EDAC}">
                        <c15:formulaRef>
                          <c15:sqref>'Task 2'!$E$2:$E$16</c15:sqref>
                        </c15:formulaRef>
                      </c:ext>
                    </c:extLst>
                    <c:numCache>
                      <c:formatCode>0.0000</c:formatCode>
                      <c:ptCount val="10"/>
                      <c:pt idx="0">
                        <c:v>6.720000000000001E-2</c:v>
                      </c:pt>
                      <c:pt idx="1">
                        <c:v>0.31920000000000004</c:v>
                      </c:pt>
                      <c:pt idx="2">
                        <c:v>0.1512</c:v>
                      </c:pt>
                      <c:pt idx="3">
                        <c:v>0.75599999999999989</c:v>
                      </c:pt>
                      <c:pt idx="4">
                        <c:v>0.21839999999999998</c:v>
                      </c:pt>
                      <c:pt idx="5">
                        <c:v>2.7887999999999997</c:v>
                      </c:pt>
                      <c:pt idx="6">
                        <c:v>0.52079999999999993</c:v>
                      </c:pt>
                      <c:pt idx="7">
                        <c:v>0.26880000000000004</c:v>
                      </c:pt>
                      <c:pt idx="8">
                        <c:v>0.16800000000000001</c:v>
                      </c:pt>
                      <c:pt idx="9">
                        <c:v>4.7880000000000003</c:v>
                      </c:pt>
                    </c:numCache>
                  </c:numRef>
                </c:val>
                <c:extLst xmlns:c15="http://schemas.microsoft.com/office/drawing/2012/chart">
                  <c:ext xmlns:c16="http://schemas.microsoft.com/office/drawing/2014/chart" uri="{C3380CC4-5D6E-409C-BE32-E72D297353CC}">
                    <c16:uniqueId val="{00000003-27EE-41CA-BABF-009FEC8FAFF5}"/>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'Task 2'!$F$1</c15:sqref>
                        </c15:formulaRef>
                      </c:ext>
                    </c:extLst>
                    <c:strCache>
                      <c:ptCount val="1"/>
                      <c:pt idx="0">
                        <c:v>1-Hour Before Price</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'Task 2'!$A$2:$A$16</c15:sqref>
                        </c15:formulaRef>
                      </c:ext>
                    </c:extLst>
                    <c:strCache>
                      <c:ptCount val="10"/>
                      <c:pt idx="0">
                        <c:v>Fasttoken</c:v>
                      </c:pt>
                      <c:pt idx="1">
                        <c:v>Vana</c:v>
                      </c:pt>
                      <c:pt idx="2">
                        <c:v>Counterparty</c:v>
                      </c:pt>
                      <c:pt idx="3">
                        <c:v>XRP</c:v>
                      </c:pt>
                      <c:pt idx="4">
                        <c:v>BIM</c:v>
                      </c:pt>
                      <c:pt idx="5">
                        <c:v>Lumera Health</c:v>
                      </c:pt>
                      <c:pt idx="6">
                        <c:v>Gains Network</c:v>
                      </c:pt>
                      <c:pt idx="7">
                        <c:v>Zeebu</c:v>
                      </c:pt>
                      <c:pt idx="8">
                        <c:v>Apertum</c:v>
                      </c:pt>
                      <c:pt idx="9">
                        <c:v>Pain (paintoken.com)</c:v>
                      </c:pt>
                    </c:strCache>
                  </c:strRef>
                </c:cat>
                <c:val>
                  <c:numRef>
                    <c:extLst xmlns:c15="http://schemas.microsoft.com/office/drawing/2012/chart">
                      <c:ext xmlns:c15="http://schemas.microsoft.com/office/drawing/2012/chart" uri="{02D57815-91ED-43cb-92C2-25804820EDAC}">
                        <c15:formulaRef>
                          <c15:sqref>'Task 2'!$F$2:$F$16</c15:sqref>
                        </c15:formulaRef>
                      </c:ext>
                    </c:extLst>
                    <c:numCache>
                      <c:formatCode>General</c:formatCode>
                      <c:ptCount val="10"/>
                      <c:pt idx="0">
                        <c:v>4.5399818400726399</c:v>
                      </c:pt>
                      <c:pt idx="1">
                        <c:v>4.2399194415306107</c:v>
                      </c:pt>
                      <c:pt idx="2">
                        <c:v>3.3799695802737775</c:v>
                      </c:pt>
                      <c:pt idx="3">
                        <c:v>3.0198641061152247</c:v>
                      </c:pt>
                      <c:pt idx="4">
                        <c:v>2.8799625604867134</c:v>
                      </c:pt>
                      <c:pt idx="5">
                        <c:v>2.6295634924602513</c:v>
                      </c:pt>
                      <c:pt idx="6">
                        <c:v>2.1699327320853055</c:v>
                      </c:pt>
                      <c:pt idx="7">
                        <c:v>1.9399689604966319</c:v>
                      </c:pt>
                      <c:pt idx="8">
                        <c:v>1.6199838001619984</c:v>
                      </c:pt>
                      <c:pt idx="9">
                        <c:v>1.3796068120585632</c:v>
                      </c:pt>
                    </c:numCache>
                  </c:numRef>
                </c:val>
                <c:extLst xmlns:c15="http://schemas.microsoft.com/office/drawing/2012/chart">
                  <c:ext xmlns:c16="http://schemas.microsoft.com/office/drawing/2014/chart" uri="{C3380CC4-5D6E-409C-BE32-E72D297353CC}">
                    <c16:uniqueId val="{00000004-27EE-41CA-BABF-009FEC8FAFF5}"/>
                  </c:ext>
                </c:extLst>
              </c15:ser>
            </c15:filteredBarSeries>
          </c:ext>
        </c:extLst>
      </c:barChart>
      <c:catAx>
        <c:axId val="143273324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32751007"/>
        <c:crosses val="autoZero"/>
        <c:auto val="1"/>
        <c:lblAlgn val="ctr"/>
        <c:lblOffset val="100"/>
        <c:noMultiLvlLbl val="0"/>
      </c:catAx>
      <c:valAx>
        <c:axId val="143275100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327332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glow rad="228600">
        <a:schemeClr val="accent1">
          <a:satMod val="175000"/>
          <a:alpha val="40000"/>
        </a:schemeClr>
      </a:glow>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1" i="0" u="none" strike="noStrike" cap="none" spc="0" baseline="0">
                <a:ln w="0"/>
                <a:solidFill>
                  <a:schemeClr val="tx1"/>
                </a:solidFill>
                <a:effectLst>
                  <a:outerShdw blurRad="38100" dist="19050" dir="2700000" algn="tl" rotWithShape="0">
                    <a:schemeClr val="dk1">
                      <a:alpha val="40000"/>
                    </a:schemeClr>
                  </a:outerShdw>
                </a:effectLst>
              </a:rPr>
              <a:t>Current Price vs 1 Hour Before Price</a:t>
            </a:r>
            <a:endParaRPr lang="en-US" b="1" cap="none" spc="0">
              <a:ln w="0"/>
              <a:solidFill>
                <a:schemeClr val="tx1"/>
              </a:solidFill>
              <a:effectLst>
                <a:outerShdw blurRad="38100" dist="19050" dir="2700000" algn="tl" rotWithShape="0">
                  <a:schemeClr val="dk1">
                    <a:alpha val="40000"/>
                  </a:schemeClr>
                </a:outerShdw>
              </a:effectLst>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'Task 3'!$P$4</c:f>
              <c:strCache>
                <c:ptCount val="1"/>
                <c:pt idx="0">
                  <c:v>Current Price</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numFmt formatCode="#,##0.0000"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'Task 3'!$O$5:$O$14</c:f>
              <c:strCache>
                <c:ptCount val="10"/>
                <c:pt idx="0">
                  <c:v>Stonks</c:v>
                </c:pt>
                <c:pt idx="1">
                  <c:v>Lumera Health</c:v>
                </c:pt>
                <c:pt idx="2">
                  <c:v>Jupiter Perps LP</c:v>
                </c:pt>
                <c:pt idx="3">
                  <c:v>DeXe</c:v>
                </c:pt>
                <c:pt idx="4">
                  <c:v>XRP</c:v>
                </c:pt>
                <c:pt idx="5">
                  <c:v>Vana</c:v>
                </c:pt>
                <c:pt idx="6">
                  <c:v>Gains Network</c:v>
                </c:pt>
                <c:pt idx="7">
                  <c:v>BIM</c:v>
                </c:pt>
                <c:pt idx="8">
                  <c:v>Counterparty</c:v>
                </c:pt>
                <c:pt idx="9">
                  <c:v>Fasttoken</c:v>
                </c:pt>
              </c:strCache>
            </c:strRef>
          </c:cat>
          <c:val>
            <c:numRef>
              <c:f>'Task 3'!$P$5:$P$14</c:f>
              <c:numCache>
                <c:formatCode>General</c:formatCode>
                <c:ptCount val="10"/>
                <c:pt idx="0">
                  <c:v>9.06</c:v>
                </c:pt>
                <c:pt idx="1">
                  <c:v>2.63</c:v>
                </c:pt>
                <c:pt idx="2">
                  <c:v>5.48</c:v>
                </c:pt>
                <c:pt idx="3">
                  <c:v>7.42</c:v>
                </c:pt>
                <c:pt idx="4">
                  <c:v>3.02</c:v>
                </c:pt>
                <c:pt idx="5">
                  <c:v>4.24</c:v>
                </c:pt>
                <c:pt idx="6">
                  <c:v>2.17</c:v>
                </c:pt>
                <c:pt idx="7">
                  <c:v>2.88</c:v>
                </c:pt>
                <c:pt idx="8">
                  <c:v>3.38</c:v>
                </c:pt>
                <c:pt idx="9">
                  <c:v>4.54</c:v>
                </c:pt>
              </c:numCache>
            </c:numRef>
          </c:val>
          <c:extLst>
            <c:ext xmlns:c16="http://schemas.microsoft.com/office/drawing/2014/chart" uri="{C3380CC4-5D6E-409C-BE32-E72D297353CC}">
              <c16:uniqueId val="{00000000-AC69-43B4-B748-A9DEF764E7EF}"/>
            </c:ext>
          </c:extLst>
        </c:ser>
        <c:ser>
          <c:idx val="1"/>
          <c:order val="1"/>
          <c:tx>
            <c:strRef>
              <c:f>'Task 3'!$Q$4</c:f>
              <c:strCache>
                <c:ptCount val="1"/>
                <c:pt idx="0">
                  <c:v>1-Hour Before Price</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numFmt formatCode="#,##0.0000"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'Task 3'!$O$5:$O$14</c:f>
              <c:strCache>
                <c:ptCount val="10"/>
                <c:pt idx="0">
                  <c:v>Stonks</c:v>
                </c:pt>
                <c:pt idx="1">
                  <c:v>Lumera Health</c:v>
                </c:pt>
                <c:pt idx="2">
                  <c:v>Jupiter Perps LP</c:v>
                </c:pt>
                <c:pt idx="3">
                  <c:v>DeXe</c:v>
                </c:pt>
                <c:pt idx="4">
                  <c:v>XRP</c:v>
                </c:pt>
                <c:pt idx="5">
                  <c:v>Vana</c:v>
                </c:pt>
                <c:pt idx="6">
                  <c:v>Gains Network</c:v>
                </c:pt>
                <c:pt idx="7">
                  <c:v>BIM</c:v>
                </c:pt>
                <c:pt idx="8">
                  <c:v>Counterparty</c:v>
                </c:pt>
                <c:pt idx="9">
                  <c:v>Fasttoken</c:v>
                </c:pt>
              </c:strCache>
            </c:strRef>
          </c:cat>
          <c:val>
            <c:numRef>
              <c:f>'Task 3'!$Q$5:$Q$14</c:f>
              <c:numCache>
                <c:formatCode>General</c:formatCode>
                <c:ptCount val="10"/>
                <c:pt idx="0">
                  <c:v>9.0589219882833945</c:v>
                </c:pt>
                <c:pt idx="1">
                  <c:v>2.6295634924602513</c:v>
                </c:pt>
                <c:pt idx="2">
                  <c:v>5.4797424521047517</c:v>
                </c:pt>
                <c:pt idx="3">
                  <c:v>7.4197774066777997</c:v>
                </c:pt>
                <c:pt idx="4">
                  <c:v>3.0198641061152247</c:v>
                </c:pt>
                <c:pt idx="5">
                  <c:v>4.2399194415306107</c:v>
                </c:pt>
                <c:pt idx="6">
                  <c:v>2.1699327320853055</c:v>
                </c:pt>
                <c:pt idx="7">
                  <c:v>2.8799625604867134</c:v>
                </c:pt>
                <c:pt idx="8">
                  <c:v>3.3799695802737775</c:v>
                </c:pt>
                <c:pt idx="9">
                  <c:v>4.5399818400726399</c:v>
                </c:pt>
              </c:numCache>
            </c:numRef>
          </c:val>
          <c:extLst>
            <c:ext xmlns:c16="http://schemas.microsoft.com/office/drawing/2014/chart" uri="{C3380CC4-5D6E-409C-BE32-E72D297353CC}">
              <c16:uniqueId val="{00000001-AC69-43B4-B748-A9DEF764E7EF}"/>
            </c:ext>
          </c:extLst>
        </c:ser>
        <c:dLbls>
          <c:dLblPos val="outEnd"/>
          <c:showLegendKey val="0"/>
          <c:showVal val="1"/>
          <c:showCatName val="0"/>
          <c:showSerName val="0"/>
          <c:showPercent val="0"/>
          <c:showBubbleSize val="0"/>
        </c:dLbls>
        <c:gapWidth val="100"/>
        <c:overlap val="-24"/>
        <c:axId val="1579451599"/>
        <c:axId val="1579461679"/>
      </c:barChart>
      <c:catAx>
        <c:axId val="157945159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79461679"/>
        <c:crosses val="autoZero"/>
        <c:auto val="1"/>
        <c:lblAlgn val="ctr"/>
        <c:lblOffset val="100"/>
        <c:noMultiLvlLbl val="0"/>
      </c:catAx>
      <c:valAx>
        <c:axId val="157946167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794515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glow rad="228600">
        <a:schemeClr val="accent1">
          <a:satMod val="175000"/>
          <a:alpha val="40000"/>
        </a:schemeClr>
      </a:glow>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[Crypto_Analysis_Data.xlsm]Task 4!PivotTable1</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b="1"/>
              <a:t>LiquidityChart</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'Task 4'!$F$3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'Task 4'!$E$4:$E$14</c:f>
              <c:strCache>
                <c:ptCount val="10"/>
                <c:pt idx="0">
                  <c:v>Bitcoin</c:v>
                </c:pt>
                <c:pt idx="1">
                  <c:v>Ethereum</c:v>
                </c:pt>
                <c:pt idx="2">
                  <c:v>USDC</c:v>
                </c:pt>
                <c:pt idx="3">
                  <c:v>BNB</c:v>
                </c:pt>
                <c:pt idx="4">
                  <c:v>Dogecoin</c:v>
                </c:pt>
                <c:pt idx="5">
                  <c:v>Cardano</c:v>
                </c:pt>
                <c:pt idx="6">
                  <c:v>BitTorrent [New]</c:v>
                </c:pt>
                <c:pt idx="7">
                  <c:v>AB</c:v>
                </c:pt>
                <c:pt idx="8">
                  <c:v>Bounce Token</c:v>
                </c:pt>
                <c:pt idx="9">
                  <c:v>Decentraland</c:v>
                </c:pt>
              </c:strCache>
            </c:strRef>
          </c:cat>
          <c:val>
            <c:numRef>
              <c:f>'Task 4'!$F$4:$F$14</c:f>
              <c:numCache>
                <c:formatCode>General</c:formatCode>
                <c:ptCount val="10"/>
                <c:pt idx="0">
                  <c:v>61196410006</c:v>
                </c:pt>
                <c:pt idx="1">
                  <c:v>43714609700</c:v>
                </c:pt>
                <c:pt idx="2">
                  <c:v>17027792821</c:v>
                </c:pt>
                <c:pt idx="3">
                  <c:v>2278674127</c:v>
                </c:pt>
                <c:pt idx="4">
                  <c:v>1961967012</c:v>
                </c:pt>
                <c:pt idx="5">
                  <c:v>1153461846</c:v>
                </c:pt>
                <c:pt idx="6">
                  <c:v>29706225</c:v>
                </c:pt>
                <c:pt idx="7">
                  <c:v>29038108</c:v>
                </c:pt>
                <c:pt idx="8">
                  <c:v>27805860</c:v>
                </c:pt>
                <c:pt idx="9">
                  <c:v>27296450</c:v>
                </c:pt>
              </c:numCache>
            </c:numRef>
          </c:val>
          <c:extLst>
            <c:ext xmlns:c16="http://schemas.microsoft.com/office/drawing/2014/chart" uri="{C3380CC4-5D6E-409C-BE32-E72D297353CC}">
              <c16:uniqueId val="{00000000-49F6-4E18-96B7-65EAFA506FA8}"/>
            </c:ext>
          </c:extLst>
        </c:ser>
        <c:dLbls>
          <c:dLblPos val="outEnd"/>
          <c:showLegendKey val="0"/>
          <c:showVal val="1"/>
          <c:showCatName val="0"/>
          <c:showSerName val="0"/>
          <c:showPercent val="0"/>
          <c:showBubbleSize val="0"/>
        </c:dLbls>
        <c:gapWidth val="100"/>
        <c:overlap val="-24"/>
        <c:axId val="1706318815"/>
        <c:axId val="1706302495"/>
      </c:barChart>
      <c:catAx>
        <c:axId val="170631881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06302495"/>
        <c:crosses val="autoZero"/>
        <c:auto val="1"/>
        <c:lblAlgn val="ctr"/>
        <c:lblOffset val="100"/>
        <c:noMultiLvlLbl val="0"/>
      </c:catAx>
      <c:valAx>
        <c:axId val="170630249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063188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glow rad="228600">
        <a:schemeClr val="accent1">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pieChart>
        <c:varyColors val="1"/>
        <c:ser>
          <c:idx val="0"/>
          <c:order val="0"/>
          <c:tx>
            <c:strRef>
              <c:f>'Task 6'!$M$3</c:f>
              <c:strCache>
                <c:ptCount val="1"/>
                <c:pt idx="0">
                  <c:v>Volume (24h) USD</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B7EE-44D0-89EB-A08603BA3FE3}"/>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B7EE-44D0-89EB-A08603BA3FE3}"/>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B7EE-44D0-89EB-A08603BA3FE3}"/>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B7EE-44D0-89EB-A08603BA3FE3}"/>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B7EE-44D0-89EB-A08603BA3FE3}"/>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B7EE-44D0-89EB-A08603BA3FE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'Task 6'!$L$4:$L$9</c:f>
              <c:strCache>
                <c:ptCount val="6"/>
                <c:pt idx="0">
                  <c:v>Tether</c:v>
                </c:pt>
                <c:pt idx="1">
                  <c:v>Bitcoin</c:v>
                </c:pt>
                <c:pt idx="2">
                  <c:v>Ethereum</c:v>
                </c:pt>
                <c:pt idx="3">
                  <c:v>USDC</c:v>
                </c:pt>
                <c:pt idx="4">
                  <c:v>Solana</c:v>
                </c:pt>
                <c:pt idx="5">
                  <c:v>Other</c:v>
                </c:pt>
              </c:strCache>
            </c:strRef>
          </c:cat>
          <c:val>
            <c:numRef>
              <c:f>'Task 6'!$M$4:$M$9</c:f>
              <c:numCache>
                <c:formatCode>General</c:formatCode>
                <c:ptCount val="6"/>
                <c:pt idx="0">
                  <c:v>117252093277</c:v>
                </c:pt>
                <c:pt idx="1">
                  <c:v>61196410006</c:v>
                </c:pt>
                <c:pt idx="2">
                  <c:v>43714609700</c:v>
                </c:pt>
                <c:pt idx="3">
                  <c:v>17027792821</c:v>
                </c:pt>
                <c:pt idx="4">
                  <c:v>10127054144</c:v>
                </c:pt>
                <c:pt idx="5">
                  <c:v>13930836714</c:v>
                </c:pt>
              </c:numCache>
            </c:numRef>
          </c:val>
          <c:extLst>
            <c:ext xmlns:c16="http://schemas.microsoft.com/office/drawing/2014/chart" uri="{C3380CC4-5D6E-409C-BE32-E72D297353CC}">
              <c16:uniqueId val="{00000000-6CC1-48D7-8125-274BE25964C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glow rad="228600">
        <a:schemeClr val="accent1">
          <a:satMod val="175000"/>
          <a:alpha val="40000"/>
        </a:schemeClr>
      </a:glow>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3</xdr:col>
      <xdr:colOff>7620</xdr:colOff>
      <xdr:row>0</xdr:row>
      <xdr:rowOff>0</xdr:rowOff>
    </xdr:from>
    <xdr:to>
      <xdr:col>10</xdr:col>
      <xdr:colOff>335642</xdr:colOff>
      <xdr:row>15</xdr:row>
      <xdr:rowOff>0</xdr:rowOff>
    </xdr:to>
    <xdr:graphicFrame macro="">
      <xdr:nvGraphicFramePr>
        <xdr:cNvPr id="2" name="Chart 1">
          <a:extLst>
            <a:ext uri="{FF2B5EF4-FFF2-40B4-BE49-F238E27FC236}">
              <a16:creationId xmlns:a16="http://schemas.microsoft.com/office/drawing/2014/main" id="{29EA57B3-84F8-72D8-9D82-BF254A1475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0</xdr:colOff>
      <xdr:row>0</xdr:row>
      <xdr:rowOff>0</xdr:rowOff>
    </xdr:from>
    <xdr:to>
      <xdr:col>14</xdr:col>
      <xdr:colOff>0</xdr:colOff>
      <xdr:row>13</xdr:row>
      <xdr:rowOff>89535</xdr:rowOff>
    </xdr:to>
    <mc:AlternateContent xmlns:mc="http://schemas.openxmlformats.org/markup-compatibility/2006" xmlns:a14="http://schemas.microsoft.com/office/drawing/2010/main">
      <mc:Choice Requires="a14">
        <xdr:graphicFrame macro="">
          <xdr:nvGraphicFramePr>
            <xdr:cNvPr id="3" name="Price Range">
              <a:extLst>
                <a:ext uri="{FF2B5EF4-FFF2-40B4-BE49-F238E27FC236}">
                  <a16:creationId xmlns:a16="http://schemas.microsoft.com/office/drawing/2014/main" id="{6EE7F3FF-686D-8374-6410-8E31A9E3355E}"/>
                </a:ext>
              </a:extLst>
            </xdr:cNvPr>
            <xdr:cNvGraphicFramePr/>
          </xdr:nvGraphicFramePr>
          <xdr:xfrm>
            <a:off x="0" y="0"/>
            <a:ext cx="0" cy="0"/>
          </xdr:xfrm>
          <a:graphic>
            <a:graphicData uri="http://schemas.microsoft.com/office/drawing/2010/slicer">
              <sle:slicer xmlns:sle="http://schemas.microsoft.com/office/drawing/2010/slicer" name="Price Range"/>
            </a:graphicData>
          </a:graphic>
        </xdr:graphicFrame>
      </mc:Choice>
      <mc:Fallback xmlns="">
        <xdr:sp macro="" textlink="">
          <xdr:nvSpPr>
            <xdr:cNvPr id="0" name=""/>
            <xdr:cNvSpPr>
              <a:spLocks noTextEdit="1"/>
            </xdr:cNvSpPr>
          </xdr:nvSpPr>
          <xdr:spPr>
            <a:xfrm>
              <a:off x="9207500" y="0"/>
              <a:ext cx="1823357" cy="24481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15240</xdr:colOff>
      <xdr:row>17</xdr:row>
      <xdr:rowOff>15240</xdr:rowOff>
    </xdr:from>
    <xdr:to>
      <xdr:col>10</xdr:col>
      <xdr:colOff>320040</xdr:colOff>
      <xdr:row>32</xdr:row>
      <xdr:rowOff>15240</xdr:rowOff>
    </xdr:to>
    <xdr:graphicFrame macro="">
      <xdr:nvGraphicFramePr>
        <xdr:cNvPr id="4" name="Chart 3">
          <a:extLst>
            <a:ext uri="{FF2B5EF4-FFF2-40B4-BE49-F238E27FC236}">
              <a16:creationId xmlns:a16="http://schemas.microsoft.com/office/drawing/2014/main" id="{537EE55C-8A31-AEE2-4AB0-EA1F8CB1C8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290286</xdr:colOff>
      <xdr:row>34</xdr:row>
      <xdr:rowOff>0</xdr:rowOff>
    </xdr:from>
    <xdr:to>
      <xdr:col>11</xdr:col>
      <xdr:colOff>0</xdr:colOff>
      <xdr:row>49</xdr:row>
      <xdr:rowOff>21771</xdr:rowOff>
    </xdr:to>
    <xdr:graphicFrame macro="">
      <xdr:nvGraphicFramePr>
        <xdr:cNvPr id="5" name="Chart 4">
          <a:extLst>
            <a:ext uri="{FF2B5EF4-FFF2-40B4-BE49-F238E27FC236}">
              <a16:creationId xmlns:a16="http://schemas.microsoft.com/office/drawing/2014/main" id="{182CD1AA-681D-7B7B-36AD-7C3B53EED9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136072</xdr:colOff>
      <xdr:row>8</xdr:row>
      <xdr:rowOff>159657</xdr:rowOff>
    </xdr:from>
    <xdr:to>
      <xdr:col>21</xdr:col>
      <xdr:colOff>0</xdr:colOff>
      <xdr:row>24</xdr:row>
      <xdr:rowOff>0</xdr:rowOff>
    </xdr:to>
    <xdr:graphicFrame macro="">
      <xdr:nvGraphicFramePr>
        <xdr:cNvPr id="6" name="Chart 5">
          <a:extLst>
            <a:ext uri="{FF2B5EF4-FFF2-40B4-BE49-F238E27FC236}">
              <a16:creationId xmlns:a16="http://schemas.microsoft.com/office/drawing/2014/main" id="{9CA40733-D7E3-9BF9-EC38-4883E6E879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185057</xdr:colOff>
      <xdr:row>24</xdr:row>
      <xdr:rowOff>108858</xdr:rowOff>
    </xdr:from>
    <xdr:to>
      <xdr:col>21</xdr:col>
      <xdr:colOff>304800</xdr:colOff>
      <xdr:row>30</xdr:row>
      <xdr:rowOff>87086</xdr:rowOff>
    </xdr:to>
    <xdr:sp macro="" textlink="R29">
      <xdr:nvSpPr>
        <xdr:cNvPr id="7" name="Rectangle: Rounded Corners 6">
          <a:extLst>
            <a:ext uri="{FF2B5EF4-FFF2-40B4-BE49-F238E27FC236}">
              <a16:creationId xmlns:a16="http://schemas.microsoft.com/office/drawing/2014/main" id="{16496D3A-827C-B8C5-F906-D354E360493B}"/>
            </a:ext>
          </a:extLst>
        </xdr:cNvPr>
        <xdr:cNvSpPr/>
      </xdr:nvSpPr>
      <xdr:spPr>
        <a:xfrm>
          <a:off x="14554200" y="4550229"/>
          <a:ext cx="1676400" cy="1088571"/>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17FDEA7-DF0F-40A0-B419-B63BE11D92E3}" type="TxLink">
            <a:rPr lang="en-US" sz="2000" b="0" i="0" u="none" strike="noStrike">
              <a:solidFill>
                <a:srgbClr val="000000"/>
              </a:solidFill>
              <a:latin typeface="Calibri"/>
              <a:ea typeface="Calibri"/>
              <a:cs typeface="Calibri"/>
            </a:rPr>
            <a:pPr algn="ctr"/>
            <a:t>3.56284E+12</a:t>
          </a:fld>
          <a:endParaRPr lang="en-US" sz="2000"/>
        </a:p>
      </xdr:txBody>
    </xdr:sp>
    <xdr:clientData/>
  </xdr:twoCellAnchor>
  <xdr:twoCellAnchor>
    <xdr:from>
      <xdr:col>12</xdr:col>
      <xdr:colOff>456950</xdr:colOff>
      <xdr:row>20</xdr:row>
      <xdr:rowOff>141888</xdr:rowOff>
    </xdr:from>
    <xdr:to>
      <xdr:col>14</xdr:col>
      <xdr:colOff>150987</xdr:colOff>
      <xdr:row>25</xdr:row>
      <xdr:rowOff>131003</xdr:rowOff>
    </xdr:to>
    <xdr:sp macro="" textlink="">
      <xdr:nvSpPr>
        <xdr:cNvPr id="9" name="TextBox 8">
          <a:extLst>
            <a:ext uri="{FF2B5EF4-FFF2-40B4-BE49-F238E27FC236}">
              <a16:creationId xmlns:a16="http://schemas.microsoft.com/office/drawing/2014/main" id="{80809139-C624-08D5-D2BF-32B472F6B54C}"/>
            </a:ext>
          </a:extLst>
        </xdr:cNvPr>
        <xdr:cNvSpPr txBox="1"/>
      </xdr:nvSpPr>
      <xdr:spPr>
        <a:xfrm>
          <a:off x="9356645" y="3748300"/>
          <a:ext cx="915563" cy="8907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19</xdr:col>
      <xdr:colOff>192795</xdr:colOff>
      <xdr:row>24</xdr:row>
      <xdr:rowOff>119349</xdr:rowOff>
    </xdr:from>
    <xdr:to>
      <xdr:col>21</xdr:col>
      <xdr:colOff>307554</xdr:colOff>
      <xdr:row>26</xdr:row>
      <xdr:rowOff>105578</xdr:rowOff>
    </xdr:to>
    <xdr:sp macro="" textlink="">
      <xdr:nvSpPr>
        <xdr:cNvPr id="10" name="TextBox 9">
          <a:extLst>
            <a:ext uri="{FF2B5EF4-FFF2-40B4-BE49-F238E27FC236}">
              <a16:creationId xmlns:a16="http://schemas.microsoft.com/office/drawing/2014/main" id="{FF78F0B1-3E4C-F63D-FB01-D7F211182C01}"/>
            </a:ext>
          </a:extLst>
        </xdr:cNvPr>
        <xdr:cNvSpPr txBox="1"/>
      </xdr:nvSpPr>
      <xdr:spPr>
        <a:xfrm>
          <a:off x="14578988" y="4526096"/>
          <a:ext cx="1661711" cy="353458"/>
        </a:xfrm>
        <a:prstGeom prst="round2SameRect">
          <a:avLst>
            <a:gd name="adj1" fmla="val 50000"/>
            <a:gd name="adj2" fmla="val 0"/>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1100" b="1" u="none" cap="none" spc="0">
              <a:ln w="0"/>
              <a:solidFill>
                <a:schemeClr val="tx1"/>
              </a:solidFill>
              <a:effectLst>
                <a:outerShdw blurRad="38100" dist="19050" dir="2700000" algn="tl" rotWithShape="0">
                  <a:schemeClr val="dk1">
                    <a:alpha val="40000"/>
                  </a:schemeClr>
                </a:outerShdw>
              </a:effectLst>
            </a:rPr>
            <a:t>Sum of Market Capital</a:t>
          </a:r>
        </a:p>
      </xdr:txBody>
    </xdr:sp>
    <xdr:clientData/>
  </xdr:twoCellAnchor>
  <xdr:twoCellAnchor>
    <xdr:from>
      <xdr:col>19</xdr:col>
      <xdr:colOff>185057</xdr:colOff>
      <xdr:row>32</xdr:row>
      <xdr:rowOff>108858</xdr:rowOff>
    </xdr:from>
    <xdr:to>
      <xdr:col>21</xdr:col>
      <xdr:colOff>304800</xdr:colOff>
      <xdr:row>38</xdr:row>
      <xdr:rowOff>87086</xdr:rowOff>
    </xdr:to>
    <xdr:sp macro="" textlink="R32">
      <xdr:nvSpPr>
        <xdr:cNvPr id="11" name="Rectangle: Rounded Corners 10">
          <a:extLst>
            <a:ext uri="{FF2B5EF4-FFF2-40B4-BE49-F238E27FC236}">
              <a16:creationId xmlns:a16="http://schemas.microsoft.com/office/drawing/2014/main" id="{C9924507-FECF-4416-9D3F-BE55B3458265}"/>
            </a:ext>
          </a:extLst>
        </xdr:cNvPr>
        <xdr:cNvSpPr/>
      </xdr:nvSpPr>
      <xdr:spPr>
        <a:xfrm>
          <a:off x="14569988" y="4436553"/>
          <a:ext cx="1661194" cy="1060151"/>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8C6AA63-F125-4134-ABEC-C101EBC9A0F0}" type="TxLink">
            <a:rPr lang="en-US" sz="2000" b="0" i="0" u="none" strike="noStrike">
              <a:solidFill>
                <a:srgbClr val="000000"/>
              </a:solidFill>
              <a:latin typeface="Calibri"/>
              <a:ea typeface="Calibri"/>
              <a:cs typeface="Calibri"/>
            </a:rPr>
            <a:pPr algn="ctr"/>
            <a:t>118265.228</a:t>
          </a:fld>
          <a:endParaRPr lang="en-US" sz="2000"/>
        </a:p>
      </xdr:txBody>
    </xdr:sp>
    <xdr:clientData/>
  </xdr:twoCellAnchor>
  <xdr:twoCellAnchor>
    <xdr:from>
      <xdr:col>19</xdr:col>
      <xdr:colOff>192795</xdr:colOff>
      <xdr:row>32</xdr:row>
      <xdr:rowOff>119349</xdr:rowOff>
    </xdr:from>
    <xdr:to>
      <xdr:col>21</xdr:col>
      <xdr:colOff>307554</xdr:colOff>
      <xdr:row>34</xdr:row>
      <xdr:rowOff>105578</xdr:rowOff>
    </xdr:to>
    <xdr:sp macro="" textlink="">
      <xdr:nvSpPr>
        <xdr:cNvPr id="12" name="TextBox 11">
          <a:extLst>
            <a:ext uri="{FF2B5EF4-FFF2-40B4-BE49-F238E27FC236}">
              <a16:creationId xmlns:a16="http://schemas.microsoft.com/office/drawing/2014/main" id="{2158D2E7-AF92-4B7C-B96F-B7597D82C498}"/>
            </a:ext>
          </a:extLst>
        </xdr:cNvPr>
        <xdr:cNvSpPr txBox="1"/>
      </xdr:nvSpPr>
      <xdr:spPr>
        <a:xfrm>
          <a:off x="14577726" y="4447044"/>
          <a:ext cx="1656210" cy="346870"/>
        </a:xfrm>
        <a:prstGeom prst="round2SameRect">
          <a:avLst>
            <a:gd name="adj1" fmla="val 50000"/>
            <a:gd name="adj2" fmla="val 0"/>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1100" b="1" u="none" cap="none" spc="0">
              <a:ln w="0"/>
              <a:solidFill>
                <a:schemeClr val="tx1"/>
              </a:solidFill>
              <a:effectLst>
                <a:outerShdw blurRad="38100" dist="19050" dir="2700000" algn="tl" rotWithShape="0">
                  <a:schemeClr val="dk1">
                    <a:alpha val="40000"/>
                  </a:schemeClr>
                </a:outerShdw>
              </a:effectLst>
            </a:rPr>
            <a:t>Total Price of Coins</a:t>
          </a:r>
        </a:p>
      </xdr:txBody>
    </xdr:sp>
    <xdr:clientData/>
  </xdr:twoCellAnchor>
  <xdr:twoCellAnchor>
    <xdr:from>
      <xdr:col>19</xdr:col>
      <xdr:colOff>185057</xdr:colOff>
      <xdr:row>40</xdr:row>
      <xdr:rowOff>108858</xdr:rowOff>
    </xdr:from>
    <xdr:to>
      <xdr:col>21</xdr:col>
      <xdr:colOff>304800</xdr:colOff>
      <xdr:row>46</xdr:row>
      <xdr:rowOff>87086</xdr:rowOff>
    </xdr:to>
    <xdr:sp macro="" textlink="R35">
      <xdr:nvSpPr>
        <xdr:cNvPr id="20" name="Rectangle: Rounded Corners 19">
          <a:extLst>
            <a:ext uri="{FF2B5EF4-FFF2-40B4-BE49-F238E27FC236}">
              <a16:creationId xmlns:a16="http://schemas.microsoft.com/office/drawing/2014/main" id="{F7C708CA-B46E-4FDE-8CCD-4CDADEA8EE82}"/>
            </a:ext>
          </a:extLst>
        </xdr:cNvPr>
        <xdr:cNvSpPr/>
      </xdr:nvSpPr>
      <xdr:spPr>
        <a:xfrm>
          <a:off x="14569988" y="5879118"/>
          <a:ext cx="1661194" cy="1060151"/>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905963B-FEA1-4B28-B8C6-D07FCD73D047}" type="TxLink">
            <a:rPr lang="en-US" sz="2000" b="0" i="0" u="none" strike="noStrike">
              <a:solidFill>
                <a:srgbClr val="000000"/>
              </a:solidFill>
              <a:latin typeface="Calibri"/>
              <a:ea typeface="Calibri"/>
              <a:cs typeface="Calibri"/>
            </a:rPr>
            <a:pPr algn="ctr"/>
            <a:t>4.43757E+15</a:t>
          </a:fld>
          <a:endParaRPr lang="en-US" sz="2000"/>
        </a:p>
      </xdr:txBody>
    </xdr:sp>
    <xdr:clientData/>
  </xdr:twoCellAnchor>
  <xdr:twoCellAnchor>
    <xdr:from>
      <xdr:col>19</xdr:col>
      <xdr:colOff>192795</xdr:colOff>
      <xdr:row>40</xdr:row>
      <xdr:rowOff>119349</xdr:rowOff>
    </xdr:from>
    <xdr:to>
      <xdr:col>21</xdr:col>
      <xdr:colOff>307554</xdr:colOff>
      <xdr:row>42</xdr:row>
      <xdr:rowOff>105578</xdr:rowOff>
    </xdr:to>
    <xdr:sp macro="" textlink="">
      <xdr:nvSpPr>
        <xdr:cNvPr id="21" name="TextBox 20">
          <a:extLst>
            <a:ext uri="{FF2B5EF4-FFF2-40B4-BE49-F238E27FC236}">
              <a16:creationId xmlns:a16="http://schemas.microsoft.com/office/drawing/2014/main" id="{75BCFBC4-F390-4F5A-AF77-8E93E5F81F41}"/>
            </a:ext>
          </a:extLst>
        </xdr:cNvPr>
        <xdr:cNvSpPr txBox="1"/>
      </xdr:nvSpPr>
      <xdr:spPr>
        <a:xfrm>
          <a:off x="14577726" y="5889609"/>
          <a:ext cx="1656210" cy="346870"/>
        </a:xfrm>
        <a:prstGeom prst="round2SameRect">
          <a:avLst>
            <a:gd name="adj1" fmla="val 50000"/>
            <a:gd name="adj2" fmla="val 0"/>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1100" b="1" u="none" cap="none" spc="0">
              <a:ln w="0"/>
              <a:solidFill>
                <a:schemeClr val="tx1"/>
              </a:solidFill>
              <a:effectLst>
                <a:outerShdw blurRad="38100" dist="19050" dir="2700000" algn="tl" rotWithShape="0">
                  <a:schemeClr val="dk1">
                    <a:alpha val="40000"/>
                  </a:schemeClr>
                </a:outerShdw>
              </a:effectLst>
            </a:rPr>
            <a:t>Total Circulating Supply</a:t>
          </a:r>
        </a:p>
      </xdr:txBody>
    </xdr:sp>
    <xdr:clientData/>
  </xdr:twoCellAnchor>
  <xdr:twoCellAnchor>
    <xdr:from>
      <xdr:col>17</xdr:col>
      <xdr:colOff>457200</xdr:colOff>
      <xdr:row>40</xdr:row>
      <xdr:rowOff>99786</xdr:rowOff>
    </xdr:from>
    <xdr:to>
      <xdr:col>18</xdr:col>
      <xdr:colOff>304800</xdr:colOff>
      <xdr:row>46</xdr:row>
      <xdr:rowOff>78015</xdr:rowOff>
    </xdr:to>
    <xdr:sp macro="" textlink="P36">
      <xdr:nvSpPr>
        <xdr:cNvPr id="22" name="Rectangle: Rounded Corners 21">
          <a:extLst>
            <a:ext uri="{FF2B5EF4-FFF2-40B4-BE49-F238E27FC236}">
              <a16:creationId xmlns:a16="http://schemas.microsoft.com/office/drawing/2014/main" id="{9E0ECDC8-1437-4030-895A-DF7B00B7A8DF}"/>
            </a:ext>
          </a:extLst>
        </xdr:cNvPr>
        <xdr:cNvSpPr/>
      </xdr:nvSpPr>
      <xdr:spPr>
        <a:xfrm>
          <a:off x="12367986" y="7356929"/>
          <a:ext cx="1670957" cy="10668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17D5A8-9D4C-4108-A21F-89CD31DF1D4E}" type="TxLink">
            <a:rPr lang="en-US" sz="2000" b="0" i="0" u="none" strike="noStrike">
              <a:solidFill>
                <a:srgbClr val="000000"/>
              </a:solidFill>
              <a:latin typeface="Calibri"/>
              <a:ea typeface="Calibri"/>
              <a:cs typeface="Calibri"/>
            </a:rPr>
            <a:pPr algn="ctr"/>
            <a:t>Bitcoin</a:t>
          </a:fld>
          <a:endParaRPr lang="en-US" sz="2000"/>
        </a:p>
      </xdr:txBody>
    </xdr:sp>
    <xdr:clientData/>
  </xdr:twoCellAnchor>
  <xdr:twoCellAnchor>
    <xdr:from>
      <xdr:col>17</xdr:col>
      <xdr:colOff>470986</xdr:colOff>
      <xdr:row>40</xdr:row>
      <xdr:rowOff>113301</xdr:rowOff>
    </xdr:from>
    <xdr:to>
      <xdr:col>18</xdr:col>
      <xdr:colOff>313602</xdr:colOff>
      <xdr:row>42</xdr:row>
      <xdr:rowOff>99531</xdr:rowOff>
    </xdr:to>
    <xdr:sp macro="" textlink="">
      <xdr:nvSpPr>
        <xdr:cNvPr id="23" name="TextBox 22">
          <a:extLst>
            <a:ext uri="{FF2B5EF4-FFF2-40B4-BE49-F238E27FC236}">
              <a16:creationId xmlns:a16="http://schemas.microsoft.com/office/drawing/2014/main" id="{7022DD9D-2776-4E53-AF1D-E60B50FCF073}"/>
            </a:ext>
          </a:extLst>
        </xdr:cNvPr>
        <xdr:cNvSpPr txBox="1"/>
      </xdr:nvSpPr>
      <xdr:spPr>
        <a:xfrm>
          <a:off x="12427129" y="7370444"/>
          <a:ext cx="1662949" cy="349087"/>
        </a:xfrm>
        <a:prstGeom prst="round2SameRect">
          <a:avLst>
            <a:gd name="adj1" fmla="val 50000"/>
            <a:gd name="adj2" fmla="val 0"/>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1200" b="1" u="none" cap="none" spc="0">
              <a:ln w="0"/>
              <a:solidFill>
                <a:schemeClr val="tx1"/>
              </a:solidFill>
              <a:effectLst>
                <a:outerShdw blurRad="38100" dist="19050" dir="2700000" algn="tl" rotWithShape="0">
                  <a:schemeClr val="dk1">
                    <a:alpha val="40000"/>
                  </a:schemeClr>
                </a:outerShdw>
              </a:effectLst>
            </a:rPr>
            <a:t>Highest Price Coin</a:t>
          </a:r>
        </a:p>
      </xdr:txBody>
    </xdr:sp>
    <xdr:clientData/>
  </xdr:twoCellAnchor>
  <xdr:twoCellAnchor>
    <xdr:from>
      <xdr:col>14</xdr:col>
      <xdr:colOff>79433</xdr:colOff>
      <xdr:row>40</xdr:row>
      <xdr:rowOff>78679</xdr:rowOff>
    </xdr:from>
    <xdr:to>
      <xdr:col>16</xdr:col>
      <xdr:colOff>523592</xdr:colOff>
      <xdr:row>46</xdr:row>
      <xdr:rowOff>56907</xdr:rowOff>
    </xdr:to>
    <xdr:sp macro="" textlink="P38">
      <xdr:nvSpPr>
        <xdr:cNvPr id="24" name="Rectangle: Rounded Corners 23">
          <a:extLst>
            <a:ext uri="{FF2B5EF4-FFF2-40B4-BE49-F238E27FC236}">
              <a16:creationId xmlns:a16="http://schemas.microsoft.com/office/drawing/2014/main" id="{39392AC9-30D7-409C-991A-D14C82C6F9A3}"/>
            </a:ext>
          </a:extLst>
        </xdr:cNvPr>
        <xdr:cNvSpPr/>
      </xdr:nvSpPr>
      <xdr:spPr>
        <a:xfrm>
          <a:off x="10204225" y="7321451"/>
          <a:ext cx="1666377" cy="1064644"/>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1003C35-B81E-4A0D-A4CD-35CBBF4CA988}" type="TxLink">
            <a:rPr lang="en-US" sz="2000" b="0" i="0" u="none" strike="noStrike">
              <a:solidFill>
                <a:srgbClr val="000000"/>
              </a:solidFill>
              <a:latin typeface="Calibri"/>
              <a:ea typeface="Calibri"/>
              <a:cs typeface="Calibri"/>
            </a:rPr>
            <a:pPr algn="ctr"/>
            <a:t>112396.23</a:t>
          </a:fld>
          <a:endParaRPr lang="en-US" sz="2000"/>
        </a:p>
      </xdr:txBody>
    </xdr:sp>
    <xdr:clientData/>
  </xdr:twoCellAnchor>
  <xdr:twoCellAnchor>
    <xdr:from>
      <xdr:col>14</xdr:col>
      <xdr:colOff>79626</xdr:colOff>
      <xdr:row>40</xdr:row>
      <xdr:rowOff>89171</xdr:rowOff>
    </xdr:from>
    <xdr:to>
      <xdr:col>16</xdr:col>
      <xdr:colOff>518801</xdr:colOff>
      <xdr:row>42</xdr:row>
      <xdr:rowOff>75400</xdr:rowOff>
    </xdr:to>
    <xdr:sp macro="" textlink="">
      <xdr:nvSpPr>
        <xdr:cNvPr id="25" name="TextBox 24">
          <a:extLst>
            <a:ext uri="{FF2B5EF4-FFF2-40B4-BE49-F238E27FC236}">
              <a16:creationId xmlns:a16="http://schemas.microsoft.com/office/drawing/2014/main" id="{58172182-FC85-4819-BE6B-3806C87E46E0}"/>
            </a:ext>
          </a:extLst>
        </xdr:cNvPr>
        <xdr:cNvSpPr txBox="1"/>
      </xdr:nvSpPr>
      <xdr:spPr>
        <a:xfrm>
          <a:off x="10204418" y="7331943"/>
          <a:ext cx="1661393" cy="348368"/>
        </a:xfrm>
        <a:prstGeom prst="round2SameRect">
          <a:avLst>
            <a:gd name="adj1" fmla="val 50000"/>
            <a:gd name="adj2" fmla="val 0"/>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1100" b="1" u="none" cap="none" spc="0">
              <a:ln w="0"/>
              <a:solidFill>
                <a:schemeClr val="tx1"/>
              </a:solidFill>
              <a:effectLst>
                <a:outerShdw blurRad="38100" dist="19050" dir="2700000" algn="tl" rotWithShape="0">
                  <a:schemeClr val="dk1">
                    <a:alpha val="40000"/>
                  </a:schemeClr>
                </a:outerShdw>
              </a:effectLst>
            </a:rPr>
            <a:t>Highest Price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136693</xdr:colOff>
      <xdr:row>34</xdr:row>
      <xdr:rowOff>118056</xdr:rowOff>
    </xdr:from>
    <xdr:to>
      <xdr:col>11</xdr:col>
      <xdr:colOff>354169</xdr:colOff>
      <xdr:row>51</xdr:row>
      <xdr:rowOff>21464</xdr:rowOff>
    </xdr:to>
    <xdr:graphicFrame macro="">
      <xdr:nvGraphicFramePr>
        <xdr:cNvPr id="2" name="Chart 1">
          <a:extLst>
            <a:ext uri="{FF2B5EF4-FFF2-40B4-BE49-F238E27FC236}">
              <a16:creationId xmlns:a16="http://schemas.microsoft.com/office/drawing/2014/main" id="{4A19EEE1-1153-42FF-B451-CB5C01B6C8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149860</xdr:colOff>
      <xdr:row>14</xdr:row>
      <xdr:rowOff>179070</xdr:rowOff>
    </xdr:from>
    <xdr:to>
      <xdr:col>11</xdr:col>
      <xdr:colOff>354169</xdr:colOff>
      <xdr:row>33</xdr:row>
      <xdr:rowOff>32197</xdr:rowOff>
    </xdr:to>
    <xdr:graphicFrame macro="">
      <xdr:nvGraphicFramePr>
        <xdr:cNvPr id="3" name="Chart 2">
          <a:extLst>
            <a:ext uri="{FF2B5EF4-FFF2-40B4-BE49-F238E27FC236}">
              <a16:creationId xmlns:a16="http://schemas.microsoft.com/office/drawing/2014/main" id="{6C7EE109-C287-4119-806E-33A0142317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25830</xdr:colOff>
      <xdr:row>15</xdr:row>
      <xdr:rowOff>11429</xdr:rowOff>
    </xdr:from>
    <xdr:to>
      <xdr:col>21</xdr:col>
      <xdr:colOff>417861</xdr:colOff>
      <xdr:row>33</xdr:row>
      <xdr:rowOff>64394</xdr:rowOff>
    </xdr:to>
    <xdr:graphicFrame macro="">
      <xdr:nvGraphicFramePr>
        <xdr:cNvPr id="4" name="Chart 3">
          <a:extLst>
            <a:ext uri="{FF2B5EF4-FFF2-40B4-BE49-F238E27FC236}">
              <a16:creationId xmlns:a16="http://schemas.microsoft.com/office/drawing/2014/main" id="{7F8104EF-E205-4A0C-937B-9AFC68FA7F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232474</xdr:colOff>
      <xdr:row>34</xdr:row>
      <xdr:rowOff>128789</xdr:rowOff>
    </xdr:from>
    <xdr:to>
      <xdr:col>21</xdr:col>
      <xdr:colOff>414323</xdr:colOff>
      <xdr:row>51</xdr:row>
      <xdr:rowOff>64393</xdr:rowOff>
    </xdr:to>
    <xdr:graphicFrame macro="">
      <xdr:nvGraphicFramePr>
        <xdr:cNvPr id="5" name="Chart 4">
          <a:extLst>
            <a:ext uri="{FF2B5EF4-FFF2-40B4-BE49-F238E27FC236}">
              <a16:creationId xmlns:a16="http://schemas.microsoft.com/office/drawing/2014/main" id="{4C7BB4B2-CC60-4B44-A86F-D2D32927FE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12</xdr:col>
      <xdr:colOff>25666</xdr:colOff>
      <xdr:row>15</xdr:row>
      <xdr:rowOff>29030</xdr:rowOff>
    </xdr:from>
    <xdr:to>
      <xdr:col>13</xdr:col>
      <xdr:colOff>1328023</xdr:colOff>
      <xdr:row>28</xdr:row>
      <xdr:rowOff>58408</xdr:rowOff>
    </xdr:to>
    <mc:AlternateContent xmlns:mc="http://schemas.openxmlformats.org/markup-compatibility/2006" xmlns:a14="http://schemas.microsoft.com/office/drawing/2010/main">
      <mc:Choice Requires="a14">
        <xdr:graphicFrame macro="">
          <xdr:nvGraphicFramePr>
            <xdr:cNvPr id="6" name="Price Range 1">
              <a:extLst>
                <a:ext uri="{FF2B5EF4-FFF2-40B4-BE49-F238E27FC236}">
                  <a16:creationId xmlns:a16="http://schemas.microsoft.com/office/drawing/2014/main" id="{BBE4B73C-0EC3-42D7-991F-03CCF660E7D4}"/>
                </a:ext>
              </a:extLst>
            </xdr:cNvPr>
            <xdr:cNvGraphicFramePr/>
          </xdr:nvGraphicFramePr>
          <xdr:xfrm>
            <a:off x="0" y="0"/>
            <a:ext cx="0" cy="0"/>
          </xdr:xfrm>
          <a:graphic>
            <a:graphicData uri="http://schemas.microsoft.com/office/drawing/2010/slicer">
              <sle:slicer xmlns:sle="http://schemas.microsoft.com/office/drawing/2010/slicer" name="Price Range 1"/>
            </a:graphicData>
          </a:graphic>
        </xdr:graphicFrame>
      </mc:Choice>
      <mc:Fallback xmlns="">
        <xdr:sp macro="" textlink="">
          <xdr:nvSpPr>
            <xdr:cNvPr id="0" name=""/>
            <xdr:cNvSpPr>
              <a:spLocks noTextEdit="1"/>
            </xdr:cNvSpPr>
          </xdr:nvSpPr>
          <xdr:spPr>
            <a:xfrm>
              <a:off x="7340866" y="2842568"/>
              <a:ext cx="2566920" cy="24677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150420</xdr:colOff>
      <xdr:row>8</xdr:row>
      <xdr:rowOff>74222</xdr:rowOff>
    </xdr:from>
    <xdr:to>
      <xdr:col>7</xdr:col>
      <xdr:colOff>230908</xdr:colOff>
      <xdr:row>14</xdr:row>
      <xdr:rowOff>52450</xdr:rowOff>
    </xdr:to>
    <xdr:sp macro="" textlink="'Pivot-Charts'!R29">
      <xdr:nvSpPr>
        <xdr:cNvPr id="7" name="Rectangle: Rounded Corners 6">
          <a:extLst>
            <a:ext uri="{FF2B5EF4-FFF2-40B4-BE49-F238E27FC236}">
              <a16:creationId xmlns:a16="http://schemas.microsoft.com/office/drawing/2014/main" id="{23E15656-D33B-4204-B4B2-4AE4303B5E7E}"/>
            </a:ext>
          </a:extLst>
        </xdr:cNvPr>
        <xdr:cNvSpPr/>
      </xdr:nvSpPr>
      <xdr:spPr>
        <a:xfrm>
          <a:off x="1986147" y="1552040"/>
          <a:ext cx="2528125" cy="1086592"/>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8740E97-7BA6-487E-B8D7-49714541D378}" type="TxLink">
            <a:rPr lang="en-US" sz="2000" b="0" i="0" u="none" strike="noStrike">
              <a:solidFill>
                <a:srgbClr val="000000"/>
              </a:solidFill>
              <a:latin typeface="Calibri"/>
              <a:ea typeface="Calibri"/>
              <a:cs typeface="Calibri"/>
            </a:rPr>
            <a:pPr algn="ctr"/>
            <a:t>3.56284E+12</a:t>
          </a:fld>
          <a:endParaRPr lang="en-US" sz="2000" b="0"/>
        </a:p>
      </xdr:txBody>
    </xdr:sp>
    <xdr:clientData/>
  </xdr:twoCellAnchor>
  <xdr:twoCellAnchor>
    <xdr:from>
      <xdr:col>3</xdr:col>
      <xdr:colOff>160568</xdr:colOff>
      <xdr:row>8</xdr:row>
      <xdr:rowOff>84713</xdr:rowOff>
    </xdr:from>
    <xdr:to>
      <xdr:col>7</xdr:col>
      <xdr:colOff>222274</xdr:colOff>
      <xdr:row>10</xdr:row>
      <xdr:rowOff>70942</xdr:rowOff>
    </xdr:to>
    <xdr:sp macro="" textlink="">
      <xdr:nvSpPr>
        <xdr:cNvPr id="8" name="TextBox 7">
          <a:extLst>
            <a:ext uri="{FF2B5EF4-FFF2-40B4-BE49-F238E27FC236}">
              <a16:creationId xmlns:a16="http://schemas.microsoft.com/office/drawing/2014/main" id="{E3F65040-2134-4525-8766-87A3570711FB}"/>
            </a:ext>
          </a:extLst>
        </xdr:cNvPr>
        <xdr:cNvSpPr txBox="1"/>
      </xdr:nvSpPr>
      <xdr:spPr>
        <a:xfrm>
          <a:off x="1989368" y="1568956"/>
          <a:ext cx="2500106" cy="357290"/>
        </a:xfrm>
        <a:prstGeom prst="round2SameRect">
          <a:avLst>
            <a:gd name="adj1" fmla="val 50000"/>
            <a:gd name="adj2" fmla="val 0"/>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1400" b="1" u="none" cap="none" spc="0">
              <a:ln w="0"/>
              <a:solidFill>
                <a:schemeClr val="tx1"/>
              </a:solidFill>
              <a:effectLst>
                <a:outerShdw blurRad="38100" dist="19050" dir="2700000" algn="tl" rotWithShape="0">
                  <a:schemeClr val="dk1">
                    <a:alpha val="40000"/>
                  </a:schemeClr>
                </a:outerShdw>
              </a:effectLst>
            </a:rPr>
            <a:t>Sum of Market Capital</a:t>
          </a:r>
        </a:p>
      </xdr:txBody>
    </xdr:sp>
    <xdr:clientData/>
  </xdr:twoCellAnchor>
  <xdr:twoCellAnchor>
    <xdr:from>
      <xdr:col>8</xdr:col>
      <xdr:colOff>30347</xdr:colOff>
      <xdr:row>8</xdr:row>
      <xdr:rowOff>81149</xdr:rowOff>
    </xdr:from>
    <xdr:to>
      <xdr:col>12</xdr:col>
      <xdr:colOff>132922</xdr:colOff>
      <xdr:row>14</xdr:row>
      <xdr:rowOff>59377</xdr:rowOff>
    </xdr:to>
    <xdr:sp macro="" textlink="'Pivot-Charts'!R32">
      <xdr:nvSpPr>
        <xdr:cNvPr id="9" name="Rectangle: Rounded Corners 8">
          <a:extLst>
            <a:ext uri="{FF2B5EF4-FFF2-40B4-BE49-F238E27FC236}">
              <a16:creationId xmlns:a16="http://schemas.microsoft.com/office/drawing/2014/main" id="{EA2D21BE-BC51-46EF-9D6B-ABFD1C014E8E}"/>
            </a:ext>
          </a:extLst>
        </xdr:cNvPr>
        <xdr:cNvSpPr/>
      </xdr:nvSpPr>
      <xdr:spPr>
        <a:xfrm>
          <a:off x="4907147" y="1522022"/>
          <a:ext cx="2540975" cy="1058882"/>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3BAACE1-BC32-4256-852F-6BD974E02CAB}" type="TxLink">
            <a:rPr lang="en-US" sz="2000" b="0" i="0" u="none" strike="noStrike">
              <a:solidFill>
                <a:srgbClr val="000000"/>
              </a:solidFill>
              <a:latin typeface="Calibri"/>
              <a:ea typeface="Calibri"/>
              <a:cs typeface="Calibri"/>
            </a:rPr>
            <a:pPr algn="ctr"/>
            <a:t>118265.228</a:t>
          </a:fld>
          <a:endParaRPr lang="en-US" sz="2000"/>
        </a:p>
      </xdr:txBody>
    </xdr:sp>
    <xdr:clientData/>
  </xdr:twoCellAnchor>
  <xdr:twoCellAnchor>
    <xdr:from>
      <xdr:col>8</xdr:col>
      <xdr:colOff>41798</xdr:colOff>
      <xdr:row>8</xdr:row>
      <xdr:rowOff>103687</xdr:rowOff>
    </xdr:from>
    <xdr:to>
      <xdr:col>12</xdr:col>
      <xdr:colOff>150292</xdr:colOff>
      <xdr:row>10</xdr:row>
      <xdr:rowOff>89916</xdr:rowOff>
    </xdr:to>
    <xdr:sp macro="" textlink="">
      <xdr:nvSpPr>
        <xdr:cNvPr id="10" name="TextBox 9">
          <a:extLst>
            <a:ext uri="{FF2B5EF4-FFF2-40B4-BE49-F238E27FC236}">
              <a16:creationId xmlns:a16="http://schemas.microsoft.com/office/drawing/2014/main" id="{2AFBB2F6-ED50-4E18-8491-1EDCD078E707}"/>
            </a:ext>
          </a:extLst>
        </xdr:cNvPr>
        <xdr:cNvSpPr txBox="1"/>
      </xdr:nvSpPr>
      <xdr:spPr>
        <a:xfrm>
          <a:off x="4918598" y="1544560"/>
          <a:ext cx="2546894" cy="346447"/>
        </a:xfrm>
        <a:prstGeom prst="round2SameRect">
          <a:avLst>
            <a:gd name="adj1" fmla="val 50000"/>
            <a:gd name="adj2" fmla="val 0"/>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1400" b="1" u="none" cap="none" spc="0">
              <a:ln w="0"/>
              <a:solidFill>
                <a:schemeClr val="tx1"/>
              </a:solidFill>
              <a:effectLst>
                <a:outerShdw blurRad="38100" dist="19050" dir="2700000" algn="tl" rotWithShape="0">
                  <a:schemeClr val="dk1">
                    <a:alpha val="40000"/>
                  </a:schemeClr>
                </a:outerShdw>
              </a:effectLst>
            </a:rPr>
            <a:t>Total Price of Coins</a:t>
          </a:r>
        </a:p>
      </xdr:txBody>
    </xdr:sp>
    <xdr:clientData/>
  </xdr:twoCellAnchor>
  <xdr:twoCellAnchor>
    <xdr:from>
      <xdr:col>12</xdr:col>
      <xdr:colOff>510443</xdr:colOff>
      <xdr:row>8</xdr:row>
      <xdr:rowOff>75035</xdr:rowOff>
    </xdr:from>
    <xdr:to>
      <xdr:col>15</xdr:col>
      <xdr:colOff>536620</xdr:colOff>
      <xdr:row>14</xdr:row>
      <xdr:rowOff>53262</xdr:rowOff>
    </xdr:to>
    <xdr:sp macro="" textlink="'Pivot-Charts'!R35">
      <xdr:nvSpPr>
        <xdr:cNvPr id="11" name="Rectangle: Rounded Corners 10">
          <a:extLst>
            <a:ext uri="{FF2B5EF4-FFF2-40B4-BE49-F238E27FC236}">
              <a16:creationId xmlns:a16="http://schemas.microsoft.com/office/drawing/2014/main" id="{C5E66F23-2A54-46B1-A547-70A2BC716909}"/>
            </a:ext>
          </a:extLst>
        </xdr:cNvPr>
        <xdr:cNvSpPr/>
      </xdr:nvSpPr>
      <xdr:spPr>
        <a:xfrm>
          <a:off x="7851401" y="1534641"/>
          <a:ext cx="2848796" cy="1072931"/>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BDEED5B-77A3-4C8F-882C-99103956D0B0}" type="TxLink">
            <a:rPr lang="en-US" sz="2000" b="0" i="0" u="none" strike="noStrike">
              <a:solidFill>
                <a:srgbClr val="000000"/>
              </a:solidFill>
              <a:latin typeface="Calibri"/>
              <a:ea typeface="Calibri"/>
              <a:cs typeface="Calibri"/>
            </a:rPr>
            <a:pPr algn="ctr"/>
            <a:t>4.43757E+15</a:t>
          </a:fld>
          <a:endParaRPr lang="en-US" sz="2000"/>
        </a:p>
      </xdr:txBody>
    </xdr:sp>
    <xdr:clientData/>
  </xdr:twoCellAnchor>
  <xdr:twoCellAnchor>
    <xdr:from>
      <xdr:col>12</xdr:col>
      <xdr:colOff>506999</xdr:colOff>
      <xdr:row>8</xdr:row>
      <xdr:rowOff>86278</xdr:rowOff>
    </xdr:from>
    <xdr:to>
      <xdr:col>15</xdr:col>
      <xdr:colOff>543485</xdr:colOff>
      <xdr:row>10</xdr:row>
      <xdr:rowOff>72506</xdr:rowOff>
    </xdr:to>
    <xdr:sp macro="" textlink="">
      <xdr:nvSpPr>
        <xdr:cNvPr id="12" name="TextBox 11">
          <a:extLst>
            <a:ext uri="{FF2B5EF4-FFF2-40B4-BE49-F238E27FC236}">
              <a16:creationId xmlns:a16="http://schemas.microsoft.com/office/drawing/2014/main" id="{2AD5F76B-2590-4057-900A-07510773BBA9}"/>
            </a:ext>
          </a:extLst>
        </xdr:cNvPr>
        <xdr:cNvSpPr txBox="1"/>
      </xdr:nvSpPr>
      <xdr:spPr>
        <a:xfrm>
          <a:off x="7835646" y="1565454"/>
          <a:ext cx="2849163" cy="356023"/>
        </a:xfrm>
        <a:prstGeom prst="round2SameRect">
          <a:avLst>
            <a:gd name="adj1" fmla="val 50000"/>
            <a:gd name="adj2" fmla="val 0"/>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1400" b="1" u="none" cap="none" spc="0">
              <a:ln w="0"/>
              <a:solidFill>
                <a:schemeClr val="tx1"/>
              </a:solidFill>
              <a:effectLst>
                <a:outerShdw blurRad="38100" dist="19050" dir="2700000" algn="tl" rotWithShape="0">
                  <a:schemeClr val="dk1">
                    <a:alpha val="40000"/>
                  </a:schemeClr>
                </a:outerShdw>
              </a:effectLst>
            </a:rPr>
            <a:t>Total Circulating Supply</a:t>
          </a:r>
        </a:p>
      </xdr:txBody>
    </xdr:sp>
    <xdr:clientData/>
  </xdr:twoCellAnchor>
  <xdr:twoCellAnchor>
    <xdr:from>
      <xdr:col>17</xdr:col>
      <xdr:colOff>1627909</xdr:colOff>
      <xdr:row>8</xdr:row>
      <xdr:rowOff>109193</xdr:rowOff>
    </xdr:from>
    <xdr:to>
      <xdr:col>21</xdr:col>
      <xdr:colOff>592154</xdr:colOff>
      <xdr:row>14</xdr:row>
      <xdr:rowOff>87423</xdr:rowOff>
    </xdr:to>
    <xdr:sp macro="" textlink="'Pivot-Charts'!P36">
      <xdr:nvSpPr>
        <xdr:cNvPr id="13" name="Rectangle: Rounded Corners 12">
          <a:extLst>
            <a:ext uri="{FF2B5EF4-FFF2-40B4-BE49-F238E27FC236}">
              <a16:creationId xmlns:a16="http://schemas.microsoft.com/office/drawing/2014/main" id="{752327A7-F241-4E41-A23F-D4C82966A11F}"/>
            </a:ext>
          </a:extLst>
        </xdr:cNvPr>
        <xdr:cNvSpPr/>
      </xdr:nvSpPr>
      <xdr:spPr>
        <a:xfrm>
          <a:off x="12861636" y="1587011"/>
          <a:ext cx="2670336" cy="1086594"/>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4C5ABC1-3BC5-485C-B9FC-4E7275F5F16C}" type="TxLink">
            <a:rPr lang="en-US" sz="2000" b="0" i="0" u="none" strike="noStrike">
              <a:solidFill>
                <a:srgbClr val="000000"/>
              </a:solidFill>
              <a:latin typeface="Calibri"/>
              <a:ea typeface="Calibri"/>
              <a:cs typeface="Calibri"/>
            </a:rPr>
            <a:pPr algn="ctr"/>
            <a:t>Bitcoin</a:t>
          </a:fld>
          <a:endParaRPr lang="en-US" sz="2000"/>
        </a:p>
      </xdr:txBody>
    </xdr:sp>
    <xdr:clientData/>
  </xdr:twoCellAnchor>
  <xdr:twoCellAnchor>
    <xdr:from>
      <xdr:col>17</xdr:col>
      <xdr:colOff>1641161</xdr:colOff>
      <xdr:row>8</xdr:row>
      <xdr:rowOff>122698</xdr:rowOff>
    </xdr:from>
    <xdr:to>
      <xdr:col>21</xdr:col>
      <xdr:colOff>595394</xdr:colOff>
      <xdr:row>10</xdr:row>
      <xdr:rowOff>108928</xdr:rowOff>
    </xdr:to>
    <xdr:sp macro="" textlink="">
      <xdr:nvSpPr>
        <xdr:cNvPr id="14" name="TextBox 13">
          <a:extLst>
            <a:ext uri="{FF2B5EF4-FFF2-40B4-BE49-F238E27FC236}">
              <a16:creationId xmlns:a16="http://schemas.microsoft.com/office/drawing/2014/main" id="{0604036E-1DD2-4563-8F33-23FE66671DA7}"/>
            </a:ext>
          </a:extLst>
        </xdr:cNvPr>
        <xdr:cNvSpPr txBox="1"/>
      </xdr:nvSpPr>
      <xdr:spPr>
        <a:xfrm>
          <a:off x="12845874" y="1606941"/>
          <a:ext cx="2658216" cy="357291"/>
        </a:xfrm>
        <a:prstGeom prst="round2SameRect">
          <a:avLst>
            <a:gd name="adj1" fmla="val 50000"/>
            <a:gd name="adj2" fmla="val 0"/>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1400" b="1" u="none" cap="none" spc="0">
              <a:ln w="0"/>
              <a:solidFill>
                <a:schemeClr val="tx1"/>
              </a:solidFill>
              <a:effectLst>
                <a:outerShdw blurRad="38100" dist="19050" dir="2700000" algn="tl" rotWithShape="0">
                  <a:schemeClr val="dk1">
                    <a:alpha val="40000"/>
                  </a:schemeClr>
                </a:outerShdw>
              </a:effectLst>
            </a:rPr>
            <a:t>Highest Price Coin</a:t>
          </a:r>
        </a:p>
      </xdr:txBody>
    </xdr:sp>
    <xdr:clientData/>
  </xdr:twoCellAnchor>
  <xdr:twoCellAnchor>
    <xdr:from>
      <xdr:col>16</xdr:col>
      <xdr:colOff>211804</xdr:colOff>
      <xdr:row>8</xdr:row>
      <xdr:rowOff>88900</xdr:rowOff>
    </xdr:from>
    <xdr:to>
      <xdr:col>17</xdr:col>
      <xdr:colOff>1366349</xdr:colOff>
      <xdr:row>14</xdr:row>
      <xdr:rowOff>67128</xdr:rowOff>
    </xdr:to>
    <xdr:sp macro="" textlink="'Pivot-Charts'!P38">
      <xdr:nvSpPr>
        <xdr:cNvPr id="15" name="Rectangle: Rounded Corners 14">
          <a:extLst>
            <a:ext uri="{FF2B5EF4-FFF2-40B4-BE49-F238E27FC236}">
              <a16:creationId xmlns:a16="http://schemas.microsoft.com/office/drawing/2014/main" id="{DC36FDA0-BA45-4F8C-8E01-7939C4CCE410}"/>
            </a:ext>
          </a:extLst>
        </xdr:cNvPr>
        <xdr:cNvSpPr/>
      </xdr:nvSpPr>
      <xdr:spPr>
        <a:xfrm>
          <a:off x="10987128" y="1548506"/>
          <a:ext cx="2603418" cy="1072932"/>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0FCEDE2-72C5-4B6F-AD3B-942E880F13DA}" type="TxLink">
            <a:rPr lang="en-US" sz="2000" b="0" i="0" u="none" strike="noStrike">
              <a:solidFill>
                <a:srgbClr val="000000"/>
              </a:solidFill>
              <a:latin typeface="Calibri"/>
              <a:ea typeface="Calibri"/>
              <a:cs typeface="Calibri"/>
            </a:rPr>
            <a:pPr algn="ctr"/>
            <a:t>112396.23</a:t>
          </a:fld>
          <a:endParaRPr lang="en-US" sz="2000"/>
        </a:p>
      </xdr:txBody>
    </xdr:sp>
    <xdr:clientData/>
  </xdr:twoCellAnchor>
  <xdr:twoCellAnchor>
    <xdr:from>
      <xdr:col>16</xdr:col>
      <xdr:colOff>228759</xdr:colOff>
      <xdr:row>8</xdr:row>
      <xdr:rowOff>104302</xdr:rowOff>
    </xdr:from>
    <xdr:to>
      <xdr:col>17</xdr:col>
      <xdr:colOff>1366098</xdr:colOff>
      <xdr:row>10</xdr:row>
      <xdr:rowOff>90531</xdr:rowOff>
    </xdr:to>
    <xdr:sp macro="" textlink="">
      <xdr:nvSpPr>
        <xdr:cNvPr id="16" name="TextBox 15">
          <a:extLst>
            <a:ext uri="{FF2B5EF4-FFF2-40B4-BE49-F238E27FC236}">
              <a16:creationId xmlns:a16="http://schemas.microsoft.com/office/drawing/2014/main" id="{03A0F0B0-1A72-4D84-9ADD-8EEB6C646295}"/>
            </a:ext>
          </a:extLst>
        </xdr:cNvPr>
        <xdr:cNvSpPr txBox="1"/>
      </xdr:nvSpPr>
      <xdr:spPr>
        <a:xfrm>
          <a:off x="11004083" y="1563908"/>
          <a:ext cx="2586212" cy="351130"/>
        </a:xfrm>
        <a:prstGeom prst="round2SameRect">
          <a:avLst>
            <a:gd name="adj1" fmla="val 50000"/>
            <a:gd name="adj2" fmla="val 0"/>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1400" b="1" u="none" cap="none" spc="0">
              <a:ln w="0"/>
              <a:solidFill>
                <a:schemeClr val="tx1"/>
              </a:solidFill>
              <a:effectLst>
                <a:outerShdw blurRad="38100" dist="19050" dir="2700000" algn="tl" rotWithShape="0">
                  <a:schemeClr val="dk1">
                    <a:alpha val="40000"/>
                  </a:schemeClr>
                </a:outerShdw>
              </a:effectLst>
            </a:rPr>
            <a:t>Highest Price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601980</xdr:colOff>
      <xdr:row>2</xdr:row>
      <xdr:rowOff>7620</xdr:rowOff>
    </xdr:from>
    <xdr:to>
      <xdr:col>5</xdr:col>
      <xdr:colOff>99060</xdr:colOff>
      <xdr:row>15</xdr:row>
      <xdr:rowOff>97155</xdr:rowOff>
    </xdr:to>
    <mc:AlternateContent xmlns:mc="http://schemas.openxmlformats.org/markup-compatibility/2006" xmlns:a14="http://schemas.microsoft.com/office/drawing/2010/main">
      <mc:Choice Requires="a14">
        <xdr:graphicFrame macro="">
          <xdr:nvGraphicFramePr>
            <xdr:cNvPr id="2" name="Price Range New">
              <a:extLst>
                <a:ext uri="{FF2B5EF4-FFF2-40B4-BE49-F238E27FC236}">
                  <a16:creationId xmlns:a16="http://schemas.microsoft.com/office/drawing/2014/main" id="{2C18C918-4DA1-2BDD-611C-A7111236227B}"/>
                </a:ext>
              </a:extLst>
            </xdr:cNvPr>
            <xdr:cNvGraphicFramePr/>
          </xdr:nvGraphicFramePr>
          <xdr:xfrm>
            <a:off x="0" y="0"/>
            <a:ext cx="0" cy="0"/>
          </xdr:xfrm>
          <a:graphic>
            <a:graphicData uri="http://schemas.microsoft.com/office/drawing/2010/slicer">
              <sle:slicer xmlns:sle="http://schemas.microsoft.com/office/drawing/2010/slicer" name="Price Range New"/>
            </a:graphicData>
          </a:graphic>
        </xdr:graphicFrame>
      </mc:Choice>
      <mc:Fallback xmlns="">
        <xdr:sp macro="" textlink="">
          <xdr:nvSpPr>
            <xdr:cNvPr id="0" name=""/>
            <xdr:cNvSpPr>
              <a:spLocks noTextEdit="1"/>
            </xdr:cNvSpPr>
          </xdr:nvSpPr>
          <xdr:spPr>
            <a:xfrm>
              <a:off x="5926455" y="369570"/>
              <a:ext cx="1830705" cy="24422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32084</xdr:colOff>
      <xdr:row>2</xdr:row>
      <xdr:rowOff>168443</xdr:rowOff>
    </xdr:from>
    <xdr:to>
      <xdr:col>10</xdr:col>
      <xdr:colOff>585537</xdr:colOff>
      <xdr:row>7</xdr:row>
      <xdr:rowOff>104274</xdr:rowOff>
    </xdr:to>
    <xdr:sp macro="" textlink="F18">
      <xdr:nvSpPr>
        <xdr:cNvPr id="3" name="Rectangle: Top Corners Rounded 2">
          <a:extLst>
            <a:ext uri="{FF2B5EF4-FFF2-40B4-BE49-F238E27FC236}">
              <a16:creationId xmlns:a16="http://schemas.microsoft.com/office/drawing/2014/main" id="{7F92259F-A145-5EA2-7909-5E333D7B78F6}"/>
            </a:ext>
          </a:extLst>
        </xdr:cNvPr>
        <xdr:cNvSpPr/>
      </xdr:nvSpPr>
      <xdr:spPr>
        <a:xfrm>
          <a:off x="9368589" y="537411"/>
          <a:ext cx="1772653" cy="858252"/>
        </a:xfrm>
        <a:prstGeom prst="round2SameRect">
          <a:avLst>
            <a:gd name="adj1" fmla="val 0"/>
            <a:gd name="adj2" fmla="val 17757"/>
          </a:avLst>
        </a:prstGeom>
        <a:effectLst>
          <a:glow rad="228600">
            <a:schemeClr val="accent1">
              <a:satMod val="175000"/>
              <a:alpha val="40000"/>
            </a:schemeClr>
          </a:glow>
          <a:outerShdw blurRad="40000" dist="20000" dir="5400000" rotWithShape="0">
            <a:srgbClr val="000000">
              <a:alpha val="38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fld id="{CBDDFFD3-13B7-467F-8215-5698DC79E8ED}" type="TxLink">
            <a:rPr lang="en-US" sz="2000" b="0" i="0" u="none" strike="noStrike">
              <a:solidFill>
                <a:srgbClr val="000000"/>
              </a:solidFill>
              <a:latin typeface="Calibri"/>
              <a:ea typeface="Calibri"/>
              <a:cs typeface="Calibri"/>
            </a:rPr>
            <a:pPr algn="ctr"/>
            <a:t>Magpie</a:t>
          </a:fld>
          <a:endParaRPr lang="en-US" sz="2000"/>
        </a:p>
      </xdr:txBody>
    </xdr:sp>
    <xdr:clientData/>
  </xdr:twoCellAnchor>
  <xdr:twoCellAnchor>
    <xdr:from>
      <xdr:col>8</xdr:col>
      <xdr:colOff>24063</xdr:colOff>
      <xdr:row>2</xdr:row>
      <xdr:rowOff>32085</xdr:rowOff>
    </xdr:from>
    <xdr:to>
      <xdr:col>10</xdr:col>
      <xdr:colOff>585537</xdr:colOff>
      <xdr:row>3</xdr:row>
      <xdr:rowOff>144380</xdr:rowOff>
    </xdr:to>
    <xdr:sp macro="" textlink="">
      <xdr:nvSpPr>
        <xdr:cNvPr id="4" name="Rectangle: Top Corners Rounded 3">
          <a:extLst>
            <a:ext uri="{FF2B5EF4-FFF2-40B4-BE49-F238E27FC236}">
              <a16:creationId xmlns:a16="http://schemas.microsoft.com/office/drawing/2014/main" id="{4EEF4431-EABE-089F-0945-DF3E3E67B85C}"/>
            </a:ext>
          </a:extLst>
        </xdr:cNvPr>
        <xdr:cNvSpPr/>
      </xdr:nvSpPr>
      <xdr:spPr>
        <a:xfrm>
          <a:off x="9360568" y="401053"/>
          <a:ext cx="1780674" cy="296780"/>
        </a:xfrm>
        <a:prstGeom prst="round2SameRect">
          <a:avLst>
            <a:gd name="adj1" fmla="val 43940"/>
            <a:gd name="adj2" fmla="val 0"/>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a:solidFill>
                <a:schemeClr val="tx1"/>
              </a:solidFill>
            </a:rPr>
            <a:t>Best Coin Name</a:t>
          </a:r>
        </a:p>
      </xdr:txBody>
    </xdr:sp>
    <xdr:clientData/>
  </xdr:twoCellAnchor>
  <xdr:twoCellAnchor>
    <xdr:from>
      <xdr:col>8</xdr:col>
      <xdr:colOff>32084</xdr:colOff>
      <xdr:row>10</xdr:row>
      <xdr:rowOff>168443</xdr:rowOff>
    </xdr:from>
    <xdr:to>
      <xdr:col>10</xdr:col>
      <xdr:colOff>585537</xdr:colOff>
      <xdr:row>15</xdr:row>
      <xdr:rowOff>104274</xdr:rowOff>
    </xdr:to>
    <xdr:sp macro="" textlink="F20">
      <xdr:nvSpPr>
        <xdr:cNvPr id="5" name="Rectangle: Top Corners Rounded 4">
          <a:extLst>
            <a:ext uri="{FF2B5EF4-FFF2-40B4-BE49-F238E27FC236}">
              <a16:creationId xmlns:a16="http://schemas.microsoft.com/office/drawing/2014/main" id="{7FB94F7B-6997-4A40-88E1-FB7C320EAFA9}"/>
            </a:ext>
          </a:extLst>
        </xdr:cNvPr>
        <xdr:cNvSpPr/>
      </xdr:nvSpPr>
      <xdr:spPr>
        <a:xfrm>
          <a:off x="9366584" y="533568"/>
          <a:ext cx="1775828" cy="848644"/>
        </a:xfrm>
        <a:prstGeom prst="round2SameRect">
          <a:avLst>
            <a:gd name="adj1" fmla="val 0"/>
            <a:gd name="adj2" fmla="val 17757"/>
          </a:avLst>
        </a:prstGeom>
        <a:effectLst>
          <a:glow rad="228600">
            <a:schemeClr val="accent1">
              <a:satMod val="175000"/>
              <a:alpha val="40000"/>
            </a:schemeClr>
          </a:glow>
          <a:outerShdw blurRad="40000" dist="20000" dir="5400000" rotWithShape="0">
            <a:srgbClr val="000000">
              <a:alpha val="38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fld id="{93274859-A77C-4EF4-B540-9A42732CA294}" type="TxLink">
            <a:rPr lang="en-US" sz="2000" b="0" i="0" u="none" strike="noStrike">
              <a:solidFill>
                <a:srgbClr val="000000"/>
              </a:solidFill>
              <a:latin typeface="Calibri"/>
              <a:ea typeface="Calibri"/>
              <a:cs typeface="Calibri"/>
            </a:rPr>
            <a:pPr algn="ctr"/>
            <a:t>MGP</a:t>
          </a:fld>
          <a:endParaRPr lang="en-US" sz="2000"/>
        </a:p>
      </xdr:txBody>
    </xdr:sp>
    <xdr:clientData/>
  </xdr:twoCellAnchor>
  <xdr:twoCellAnchor>
    <xdr:from>
      <xdr:col>8</xdr:col>
      <xdr:colOff>24063</xdr:colOff>
      <xdr:row>10</xdr:row>
      <xdr:rowOff>32085</xdr:rowOff>
    </xdr:from>
    <xdr:to>
      <xdr:col>10</xdr:col>
      <xdr:colOff>585537</xdr:colOff>
      <xdr:row>11</xdr:row>
      <xdr:rowOff>144380</xdr:rowOff>
    </xdr:to>
    <xdr:sp macro="" textlink="">
      <xdr:nvSpPr>
        <xdr:cNvPr id="6" name="Rectangle: Top Corners Rounded 5">
          <a:extLst>
            <a:ext uri="{FF2B5EF4-FFF2-40B4-BE49-F238E27FC236}">
              <a16:creationId xmlns:a16="http://schemas.microsoft.com/office/drawing/2014/main" id="{7393A988-03AB-4184-9CCE-BD6E5DA0CB38}"/>
            </a:ext>
          </a:extLst>
        </xdr:cNvPr>
        <xdr:cNvSpPr/>
      </xdr:nvSpPr>
      <xdr:spPr>
        <a:xfrm>
          <a:off x="9358563" y="397210"/>
          <a:ext cx="1783849" cy="294858"/>
        </a:xfrm>
        <a:prstGeom prst="round2SameRect">
          <a:avLst>
            <a:gd name="adj1" fmla="val 43940"/>
            <a:gd name="adj2" fmla="val 0"/>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a:solidFill>
                <a:schemeClr val="tx1"/>
              </a:solidFill>
            </a:rPr>
            <a:t>Best Coin Symbol</a:t>
          </a:r>
        </a:p>
      </xdr:txBody>
    </xdr:sp>
    <xdr:clientData/>
  </xdr:twoCellAnchor>
  <xdr:twoCellAnchor>
    <xdr:from>
      <xdr:col>8</xdr:col>
      <xdr:colOff>32084</xdr:colOff>
      <xdr:row>18</xdr:row>
      <xdr:rowOff>168443</xdr:rowOff>
    </xdr:from>
    <xdr:to>
      <xdr:col>10</xdr:col>
      <xdr:colOff>585537</xdr:colOff>
      <xdr:row>23</xdr:row>
      <xdr:rowOff>104274</xdr:rowOff>
    </xdr:to>
    <xdr:sp macro="" textlink="F22">
      <xdr:nvSpPr>
        <xdr:cNvPr id="7" name="Rectangle: Top Corners Rounded 6">
          <a:extLst>
            <a:ext uri="{FF2B5EF4-FFF2-40B4-BE49-F238E27FC236}">
              <a16:creationId xmlns:a16="http://schemas.microsoft.com/office/drawing/2014/main" id="{03A06CE2-24F6-48A5-A1B3-161A2390AA6E}"/>
            </a:ext>
          </a:extLst>
        </xdr:cNvPr>
        <xdr:cNvSpPr/>
      </xdr:nvSpPr>
      <xdr:spPr>
        <a:xfrm>
          <a:off x="9366584" y="533568"/>
          <a:ext cx="1775828" cy="848644"/>
        </a:xfrm>
        <a:prstGeom prst="round2SameRect">
          <a:avLst>
            <a:gd name="adj1" fmla="val 0"/>
            <a:gd name="adj2" fmla="val 17757"/>
          </a:avLst>
        </a:prstGeom>
        <a:effectLst>
          <a:glow rad="228600">
            <a:schemeClr val="accent1">
              <a:satMod val="175000"/>
              <a:alpha val="40000"/>
            </a:schemeClr>
          </a:glow>
          <a:outerShdw blurRad="40000" dist="20000" dir="5400000" rotWithShape="0">
            <a:srgbClr val="000000">
              <a:alpha val="38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fld id="{EB54A7D2-586F-4606-A502-6955971E7979}" type="TxLink">
            <a:rPr lang="en-US" sz="2000" b="0" i="0" u="none" strike="noStrike">
              <a:solidFill>
                <a:srgbClr val="000000"/>
              </a:solidFill>
              <a:latin typeface="Calibri"/>
              <a:ea typeface="Calibri"/>
              <a:cs typeface="Calibri"/>
            </a:rPr>
            <a:pPr algn="ctr"/>
            <a:t>$0.04</a:t>
          </a:fld>
          <a:endParaRPr lang="en-US" sz="2000"/>
        </a:p>
      </xdr:txBody>
    </xdr:sp>
    <xdr:clientData/>
  </xdr:twoCellAnchor>
  <xdr:twoCellAnchor>
    <xdr:from>
      <xdr:col>8</xdr:col>
      <xdr:colOff>24063</xdr:colOff>
      <xdr:row>18</xdr:row>
      <xdr:rowOff>32085</xdr:rowOff>
    </xdr:from>
    <xdr:to>
      <xdr:col>10</xdr:col>
      <xdr:colOff>585537</xdr:colOff>
      <xdr:row>19</xdr:row>
      <xdr:rowOff>144380</xdr:rowOff>
    </xdr:to>
    <xdr:sp macro="" textlink="">
      <xdr:nvSpPr>
        <xdr:cNvPr id="8" name="Rectangle: Top Corners Rounded 7">
          <a:extLst>
            <a:ext uri="{FF2B5EF4-FFF2-40B4-BE49-F238E27FC236}">
              <a16:creationId xmlns:a16="http://schemas.microsoft.com/office/drawing/2014/main" id="{8E6D052C-8C4B-4EC4-B8B1-5729EAE57A82}"/>
            </a:ext>
          </a:extLst>
        </xdr:cNvPr>
        <xdr:cNvSpPr/>
      </xdr:nvSpPr>
      <xdr:spPr>
        <a:xfrm>
          <a:off x="9358563" y="397210"/>
          <a:ext cx="1783849" cy="294858"/>
        </a:xfrm>
        <a:prstGeom prst="round2SameRect">
          <a:avLst>
            <a:gd name="adj1" fmla="val 43940"/>
            <a:gd name="adj2" fmla="val 0"/>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a:solidFill>
                <a:schemeClr val="tx1"/>
              </a:solidFill>
            </a:rPr>
            <a:t>Best Coin Price</a:t>
          </a:r>
        </a:p>
      </xdr:txBody>
    </xdr:sp>
    <xdr:clientData/>
  </xdr:twoCellAnchor>
  <xdr:twoCellAnchor>
    <xdr:from>
      <xdr:col>8</xdr:col>
      <xdr:colOff>32084</xdr:colOff>
      <xdr:row>26</xdr:row>
      <xdr:rowOff>168443</xdr:rowOff>
    </xdr:from>
    <xdr:to>
      <xdr:col>10</xdr:col>
      <xdr:colOff>585537</xdr:colOff>
      <xdr:row>31</xdr:row>
      <xdr:rowOff>104274</xdr:rowOff>
    </xdr:to>
    <xdr:sp macro="" textlink="F24">
      <xdr:nvSpPr>
        <xdr:cNvPr id="9" name="Rectangle: Top Corners Rounded 8">
          <a:extLst>
            <a:ext uri="{FF2B5EF4-FFF2-40B4-BE49-F238E27FC236}">
              <a16:creationId xmlns:a16="http://schemas.microsoft.com/office/drawing/2014/main" id="{5643265C-974F-43AF-83BC-990C27C10EEE}"/>
            </a:ext>
          </a:extLst>
        </xdr:cNvPr>
        <xdr:cNvSpPr/>
      </xdr:nvSpPr>
      <xdr:spPr>
        <a:xfrm>
          <a:off x="9366584" y="533568"/>
          <a:ext cx="1775828" cy="848644"/>
        </a:xfrm>
        <a:prstGeom prst="round2SameRect">
          <a:avLst>
            <a:gd name="adj1" fmla="val 0"/>
            <a:gd name="adj2" fmla="val 17757"/>
          </a:avLst>
        </a:prstGeom>
        <a:effectLst>
          <a:glow rad="228600">
            <a:schemeClr val="accent1">
              <a:satMod val="175000"/>
              <a:alpha val="40000"/>
            </a:schemeClr>
          </a:glow>
          <a:outerShdw blurRad="40000" dist="20000" dir="5400000" rotWithShape="0">
            <a:srgbClr val="000000">
              <a:alpha val="38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fld id="{A0659F78-ACE0-40B3-9360-5C89EA140B29}" type="TxLink">
            <a:rPr lang="en-US" sz="2000" b="0" i="0" u="none" strike="noStrike">
              <a:solidFill>
                <a:srgbClr val="000000"/>
              </a:solidFill>
              <a:latin typeface="Calibri"/>
              <a:ea typeface="Calibri"/>
              <a:cs typeface="Calibri"/>
            </a:rPr>
            <a:pPr algn="ctr"/>
            <a:t>-0.00%</a:t>
          </a:fld>
          <a:endParaRPr lang="en-US" sz="2000"/>
        </a:p>
      </xdr:txBody>
    </xdr:sp>
    <xdr:clientData/>
  </xdr:twoCellAnchor>
  <xdr:twoCellAnchor>
    <xdr:from>
      <xdr:col>8</xdr:col>
      <xdr:colOff>24063</xdr:colOff>
      <xdr:row>26</xdr:row>
      <xdr:rowOff>32085</xdr:rowOff>
    </xdr:from>
    <xdr:to>
      <xdr:col>10</xdr:col>
      <xdr:colOff>585537</xdr:colOff>
      <xdr:row>27</xdr:row>
      <xdr:rowOff>144380</xdr:rowOff>
    </xdr:to>
    <xdr:sp macro="" textlink="">
      <xdr:nvSpPr>
        <xdr:cNvPr id="10" name="Rectangle: Top Corners Rounded 9">
          <a:extLst>
            <a:ext uri="{FF2B5EF4-FFF2-40B4-BE49-F238E27FC236}">
              <a16:creationId xmlns:a16="http://schemas.microsoft.com/office/drawing/2014/main" id="{C0FBF423-842A-4D71-A95E-2993B06BE1E7}"/>
            </a:ext>
          </a:extLst>
        </xdr:cNvPr>
        <xdr:cNvSpPr/>
      </xdr:nvSpPr>
      <xdr:spPr>
        <a:xfrm>
          <a:off x="9358563" y="397210"/>
          <a:ext cx="1783849" cy="294858"/>
        </a:xfrm>
        <a:prstGeom prst="round2SameRect">
          <a:avLst>
            <a:gd name="adj1" fmla="val 43940"/>
            <a:gd name="adj2" fmla="val 0"/>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a:solidFill>
                <a:schemeClr val="tx1"/>
              </a:solidFill>
            </a:rPr>
            <a:t>Best</a:t>
          </a:r>
          <a:r>
            <a:rPr lang="en-US" sz="1200" baseline="0">
              <a:solidFill>
                <a:schemeClr val="tx1"/>
              </a:solidFill>
            </a:rPr>
            <a:t> Average Downfall</a:t>
          </a:r>
          <a:endParaRPr lang="en-US" sz="1200">
            <a:solidFill>
              <a:schemeClr val="tx1"/>
            </a:solidFill>
          </a:endParaRPr>
        </a:p>
      </xdr:txBody>
    </xdr:sp>
    <xdr:clientData/>
  </xdr:twoCellAnchor>
  <xdr:twoCellAnchor>
    <xdr:from>
      <xdr:col>8</xdr:col>
      <xdr:colOff>32084</xdr:colOff>
      <xdr:row>34</xdr:row>
      <xdr:rowOff>168443</xdr:rowOff>
    </xdr:from>
    <xdr:to>
      <xdr:col>10</xdr:col>
      <xdr:colOff>585537</xdr:colOff>
      <xdr:row>39</xdr:row>
      <xdr:rowOff>104274</xdr:rowOff>
    </xdr:to>
    <xdr:sp macro="" textlink="F26">
      <xdr:nvSpPr>
        <xdr:cNvPr id="11" name="Rectangle: Top Corners Rounded 10">
          <a:extLst>
            <a:ext uri="{FF2B5EF4-FFF2-40B4-BE49-F238E27FC236}">
              <a16:creationId xmlns:a16="http://schemas.microsoft.com/office/drawing/2014/main" id="{BFB62AA0-69DB-4C19-8E26-03023B14146D}"/>
            </a:ext>
          </a:extLst>
        </xdr:cNvPr>
        <xdr:cNvSpPr/>
      </xdr:nvSpPr>
      <xdr:spPr>
        <a:xfrm>
          <a:off x="9366584" y="533568"/>
          <a:ext cx="1775828" cy="848644"/>
        </a:xfrm>
        <a:prstGeom prst="round2SameRect">
          <a:avLst>
            <a:gd name="adj1" fmla="val 0"/>
            <a:gd name="adj2" fmla="val 17757"/>
          </a:avLst>
        </a:prstGeom>
        <a:effectLst>
          <a:glow rad="228600">
            <a:schemeClr val="accent1">
              <a:satMod val="175000"/>
              <a:alpha val="40000"/>
            </a:schemeClr>
          </a:glow>
          <a:outerShdw blurRad="40000" dist="20000" dir="5400000" rotWithShape="0">
            <a:srgbClr val="000000">
              <a:alpha val="38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fld id="{C6115734-523B-418F-AC4D-C05527511133}" type="TxLink">
            <a:rPr lang="en-US" sz="2000" b="0" i="0" u="none" strike="noStrike">
              <a:solidFill>
                <a:srgbClr val="000000"/>
              </a:solidFill>
              <a:latin typeface="Calibri"/>
              <a:ea typeface="Calibri"/>
              <a:cs typeface="Calibri"/>
            </a:rPr>
            <a:pPr algn="ctr"/>
            <a:t>376</a:t>
          </a:fld>
          <a:endParaRPr lang="en-US" sz="2000"/>
        </a:p>
      </xdr:txBody>
    </xdr:sp>
    <xdr:clientData/>
  </xdr:twoCellAnchor>
  <xdr:twoCellAnchor>
    <xdr:from>
      <xdr:col>8</xdr:col>
      <xdr:colOff>24063</xdr:colOff>
      <xdr:row>34</xdr:row>
      <xdr:rowOff>32085</xdr:rowOff>
    </xdr:from>
    <xdr:to>
      <xdr:col>10</xdr:col>
      <xdr:colOff>585537</xdr:colOff>
      <xdr:row>35</xdr:row>
      <xdr:rowOff>144380</xdr:rowOff>
    </xdr:to>
    <xdr:sp macro="" textlink="">
      <xdr:nvSpPr>
        <xdr:cNvPr id="12" name="Rectangle: Top Corners Rounded 11">
          <a:extLst>
            <a:ext uri="{FF2B5EF4-FFF2-40B4-BE49-F238E27FC236}">
              <a16:creationId xmlns:a16="http://schemas.microsoft.com/office/drawing/2014/main" id="{372488B5-082C-4836-AECF-32D1B7230B57}"/>
            </a:ext>
          </a:extLst>
        </xdr:cNvPr>
        <xdr:cNvSpPr/>
      </xdr:nvSpPr>
      <xdr:spPr>
        <a:xfrm>
          <a:off x="9358563" y="397210"/>
          <a:ext cx="1783849" cy="294858"/>
        </a:xfrm>
        <a:prstGeom prst="round2SameRect">
          <a:avLst>
            <a:gd name="adj1" fmla="val 43940"/>
            <a:gd name="adj2" fmla="val 0"/>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a:solidFill>
                <a:schemeClr val="tx1"/>
              </a:solidFill>
            </a:rPr>
            <a:t>Total Coins in</a:t>
          </a:r>
          <a:r>
            <a:rPr lang="en-US" sz="1200" baseline="0">
              <a:solidFill>
                <a:schemeClr val="tx1"/>
              </a:solidFill>
            </a:rPr>
            <a:t> Range</a:t>
          </a:r>
          <a:endParaRPr lang="en-US" sz="1200">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8486</xdr:colOff>
      <xdr:row>23</xdr:row>
      <xdr:rowOff>10160</xdr:rowOff>
    </xdr:from>
    <xdr:to>
      <xdr:col>6</xdr:col>
      <xdr:colOff>2225040</xdr:colOff>
      <xdr:row>46</xdr:row>
      <xdr:rowOff>20320</xdr:rowOff>
    </xdr:to>
    <xdr:graphicFrame macro="">
      <xdr:nvGraphicFramePr>
        <xdr:cNvPr id="2" name="Chart 1">
          <a:extLst>
            <a:ext uri="{FF2B5EF4-FFF2-40B4-BE49-F238E27FC236}">
              <a16:creationId xmlns:a16="http://schemas.microsoft.com/office/drawing/2014/main" id="{29CC752B-3199-8488-3324-6D0E244286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1050978</xdr:colOff>
      <xdr:row>16</xdr:row>
      <xdr:rowOff>46069</xdr:rowOff>
    </xdr:from>
    <xdr:to>
      <xdr:col>12</xdr:col>
      <xdr:colOff>1169246</xdr:colOff>
      <xdr:row>25</xdr:row>
      <xdr:rowOff>165696</xdr:rowOff>
    </xdr:to>
    <mc:AlternateContent xmlns:mc="http://schemas.openxmlformats.org/markup-compatibility/2006" xmlns:a14="http://schemas.microsoft.com/office/drawing/2010/main">
      <mc:Choice Requires="a14">
        <xdr:graphicFrame macro="">
          <xdr:nvGraphicFramePr>
            <xdr:cNvPr id="5" name="Price Range 2">
              <a:extLst>
                <a:ext uri="{FF2B5EF4-FFF2-40B4-BE49-F238E27FC236}">
                  <a16:creationId xmlns:a16="http://schemas.microsoft.com/office/drawing/2014/main" id="{5CE78B08-DD1A-D12C-B2D6-96E1B5B2746F}"/>
                </a:ext>
              </a:extLst>
            </xdr:cNvPr>
            <xdr:cNvGraphicFramePr/>
          </xdr:nvGraphicFramePr>
          <xdr:xfrm>
            <a:off x="0" y="0"/>
            <a:ext cx="0" cy="0"/>
          </xdr:xfrm>
          <a:graphic>
            <a:graphicData uri="http://schemas.microsoft.com/office/drawing/2010/slicer">
              <sle:slicer xmlns:sle="http://schemas.microsoft.com/office/drawing/2010/slicer" name="Price Range 2"/>
            </a:graphicData>
          </a:graphic>
        </xdr:graphicFrame>
      </mc:Choice>
      <mc:Fallback xmlns="">
        <xdr:sp macro="" textlink="">
          <xdr:nvSpPr>
            <xdr:cNvPr id="0" name=""/>
            <xdr:cNvSpPr>
              <a:spLocks noTextEdit="1"/>
            </xdr:cNvSpPr>
          </xdr:nvSpPr>
          <xdr:spPr>
            <a:xfrm>
              <a:off x="14851645" y="2924736"/>
              <a:ext cx="1830513" cy="17282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1288142</xdr:colOff>
      <xdr:row>16</xdr:row>
      <xdr:rowOff>16327</xdr:rowOff>
    </xdr:from>
    <xdr:to>
      <xdr:col>21</xdr:col>
      <xdr:colOff>381000</xdr:colOff>
      <xdr:row>34</xdr:row>
      <xdr:rowOff>81642</xdr:rowOff>
    </xdr:to>
    <xdr:graphicFrame macro="">
      <xdr:nvGraphicFramePr>
        <xdr:cNvPr id="2" name="Chart 1">
          <a:extLst>
            <a:ext uri="{FF2B5EF4-FFF2-40B4-BE49-F238E27FC236}">
              <a16:creationId xmlns:a16="http://schemas.microsoft.com/office/drawing/2014/main" id="{97C02FBE-4856-ED61-E9EA-E6E52BFEEA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15</xdr:row>
      <xdr:rowOff>15240</xdr:rowOff>
    </xdr:from>
    <xdr:to>
      <xdr:col>14</xdr:col>
      <xdr:colOff>15240</xdr:colOff>
      <xdr:row>40</xdr:row>
      <xdr:rowOff>68580</xdr:rowOff>
    </xdr:to>
    <xdr:graphicFrame macro="">
      <xdr:nvGraphicFramePr>
        <xdr:cNvPr id="2" name="LiquidityChart">
          <a:extLst>
            <a:ext uri="{FF2B5EF4-FFF2-40B4-BE49-F238E27FC236}">
              <a16:creationId xmlns:a16="http://schemas.microsoft.com/office/drawing/2014/main" id="{BDA89225-4F41-AF29-974E-B6B1EE5D21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7620</xdr:colOff>
      <xdr:row>7</xdr:row>
      <xdr:rowOff>7620</xdr:rowOff>
    </xdr:from>
    <xdr:to>
      <xdr:col>15</xdr:col>
      <xdr:colOff>594360</xdr:colOff>
      <xdr:row>9</xdr:row>
      <xdr:rowOff>175260</xdr:rowOff>
    </xdr:to>
    <xdr:sp macro="" textlink="J11">
      <xdr:nvSpPr>
        <xdr:cNvPr id="2" name="Rectangle: Top Corners Rounded 1">
          <a:extLst>
            <a:ext uri="{FF2B5EF4-FFF2-40B4-BE49-F238E27FC236}">
              <a16:creationId xmlns:a16="http://schemas.microsoft.com/office/drawing/2014/main" id="{40FF07C8-AC9B-07E8-4472-482AE13686F0}"/>
            </a:ext>
          </a:extLst>
        </xdr:cNvPr>
        <xdr:cNvSpPr/>
      </xdr:nvSpPr>
      <xdr:spPr>
        <a:xfrm>
          <a:off x="12237720" y="1417320"/>
          <a:ext cx="1805940" cy="533400"/>
        </a:xfrm>
        <a:prstGeom prst="round2SameRect">
          <a:avLst>
            <a:gd name="adj1" fmla="val 0"/>
            <a:gd name="adj2" fmla="val 3428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fld id="{5E653B33-D44F-407F-A654-9C20C31F53C0}" type="TxLink">
            <a:rPr lang="en-US" sz="2000" b="0" i="0" u="none" strike="noStrike">
              <a:solidFill>
                <a:srgbClr val="000000"/>
              </a:solidFill>
              <a:latin typeface="Calibri"/>
              <a:ea typeface="Calibri"/>
              <a:cs typeface="Calibri"/>
            </a:rPr>
            <a:pPr algn="ctr"/>
            <a:t>54748901296</a:t>
          </a:fld>
          <a:endParaRPr lang="en-US" sz="2000"/>
        </a:p>
      </xdr:txBody>
    </xdr:sp>
    <xdr:clientData/>
  </xdr:twoCellAnchor>
  <xdr:twoCellAnchor>
    <xdr:from>
      <xdr:col>13</xdr:col>
      <xdr:colOff>11430</xdr:colOff>
      <xdr:row>5</xdr:row>
      <xdr:rowOff>70075</xdr:rowOff>
    </xdr:from>
    <xdr:to>
      <xdr:col>15</xdr:col>
      <xdr:colOff>590550</xdr:colOff>
      <xdr:row>7</xdr:row>
      <xdr:rowOff>1495</xdr:rowOff>
    </xdr:to>
    <xdr:sp macro="" textlink="">
      <xdr:nvSpPr>
        <xdr:cNvPr id="3" name="Rectangle: Top Corners Rounded 2">
          <a:extLst>
            <a:ext uri="{FF2B5EF4-FFF2-40B4-BE49-F238E27FC236}">
              <a16:creationId xmlns:a16="http://schemas.microsoft.com/office/drawing/2014/main" id="{BFA025C2-C88A-0A7F-F1F4-0DE03EE30874}"/>
            </a:ext>
          </a:extLst>
        </xdr:cNvPr>
        <xdr:cNvSpPr/>
      </xdr:nvSpPr>
      <xdr:spPr>
        <a:xfrm>
          <a:off x="12683490" y="1114015"/>
          <a:ext cx="1798320" cy="297180"/>
        </a:xfrm>
        <a:prstGeom prst="round2SameRect">
          <a:avLst>
            <a:gd name="adj1" fmla="val 46882"/>
            <a:gd name="adj2" fmla="val 0"/>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400"/>
            <a:t>Volume Difference</a:t>
          </a:r>
        </a:p>
      </xdr:txBody>
    </xdr:sp>
    <xdr:clientData/>
  </xdr:twoCellAnchor>
  <xdr:twoCellAnchor>
    <xdr:from>
      <xdr:col>13</xdr:col>
      <xdr:colOff>7620</xdr:colOff>
      <xdr:row>14</xdr:row>
      <xdr:rowOff>7620</xdr:rowOff>
    </xdr:from>
    <xdr:to>
      <xdr:col>15</xdr:col>
      <xdr:colOff>594360</xdr:colOff>
      <xdr:row>16</xdr:row>
      <xdr:rowOff>175260</xdr:rowOff>
    </xdr:to>
    <xdr:sp macro="" textlink="J12">
      <xdr:nvSpPr>
        <xdr:cNvPr id="4" name="Rectangle: Top Corners Rounded 3">
          <a:extLst>
            <a:ext uri="{FF2B5EF4-FFF2-40B4-BE49-F238E27FC236}">
              <a16:creationId xmlns:a16="http://schemas.microsoft.com/office/drawing/2014/main" id="{4BA43DEA-231F-4EE5-B886-6CBA83A0D430}"/>
            </a:ext>
          </a:extLst>
        </xdr:cNvPr>
        <xdr:cNvSpPr/>
      </xdr:nvSpPr>
      <xdr:spPr>
        <a:xfrm>
          <a:off x="12669425" y="1417034"/>
          <a:ext cx="1801356" cy="534316"/>
        </a:xfrm>
        <a:prstGeom prst="round2SameRect">
          <a:avLst>
            <a:gd name="adj1" fmla="val 0"/>
            <a:gd name="adj2" fmla="val 3428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fld id="{F04148CA-6F9A-4340-8CB3-C6A42215938C}" type="TxLink">
            <a:rPr lang="en-US" sz="1800" b="0" i="0" u="none" strike="noStrike">
              <a:solidFill>
                <a:srgbClr val="000000"/>
              </a:solidFill>
              <a:latin typeface="Calibri"/>
              <a:ea typeface="Calibri"/>
              <a:cs typeface="Calibri"/>
            </a:rPr>
            <a:pPr algn="ctr"/>
            <a:t>2.05683E+12</a:t>
          </a:fld>
          <a:endParaRPr lang="en-US" sz="1800"/>
        </a:p>
      </xdr:txBody>
    </xdr:sp>
    <xdr:clientData/>
  </xdr:twoCellAnchor>
  <xdr:twoCellAnchor>
    <xdr:from>
      <xdr:col>13</xdr:col>
      <xdr:colOff>11430</xdr:colOff>
      <xdr:row>12</xdr:row>
      <xdr:rowOff>70075</xdr:rowOff>
    </xdr:from>
    <xdr:to>
      <xdr:col>15</xdr:col>
      <xdr:colOff>590550</xdr:colOff>
      <xdr:row>14</xdr:row>
      <xdr:rowOff>1495</xdr:rowOff>
    </xdr:to>
    <xdr:sp macro="" textlink="">
      <xdr:nvSpPr>
        <xdr:cNvPr id="5" name="Rectangle: Top Corners Rounded 4">
          <a:extLst>
            <a:ext uri="{FF2B5EF4-FFF2-40B4-BE49-F238E27FC236}">
              <a16:creationId xmlns:a16="http://schemas.microsoft.com/office/drawing/2014/main" id="{B952CA64-FEEB-4A2A-8652-6FB146D8DDA3}"/>
            </a:ext>
          </a:extLst>
        </xdr:cNvPr>
        <xdr:cNvSpPr/>
      </xdr:nvSpPr>
      <xdr:spPr>
        <a:xfrm>
          <a:off x="12673235" y="1112812"/>
          <a:ext cx="1793736" cy="298097"/>
        </a:xfrm>
        <a:prstGeom prst="round2SameRect">
          <a:avLst>
            <a:gd name="adj1" fmla="val 46882"/>
            <a:gd name="adj2" fmla="val 0"/>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400"/>
            <a:t>Market Cap Diff.</a:t>
          </a:r>
        </a:p>
      </xdr:txBody>
    </xdr:sp>
    <xdr:clientData/>
  </xdr:twoCellAnchor>
  <xdr:twoCellAnchor>
    <xdr:from>
      <xdr:col>13</xdr:col>
      <xdr:colOff>7620</xdr:colOff>
      <xdr:row>21</xdr:row>
      <xdr:rowOff>7620</xdr:rowOff>
    </xdr:from>
    <xdr:to>
      <xdr:col>15</xdr:col>
      <xdr:colOff>594360</xdr:colOff>
      <xdr:row>23</xdr:row>
      <xdr:rowOff>175260</xdr:rowOff>
    </xdr:to>
    <xdr:sp macro="" textlink="J13">
      <xdr:nvSpPr>
        <xdr:cNvPr id="6" name="Rectangle: Top Corners Rounded 5">
          <a:extLst>
            <a:ext uri="{FF2B5EF4-FFF2-40B4-BE49-F238E27FC236}">
              <a16:creationId xmlns:a16="http://schemas.microsoft.com/office/drawing/2014/main" id="{16712F21-B29A-4E9F-B6EA-3B008B4E828E}"/>
            </a:ext>
          </a:extLst>
        </xdr:cNvPr>
        <xdr:cNvSpPr/>
      </xdr:nvSpPr>
      <xdr:spPr>
        <a:xfrm>
          <a:off x="12669425" y="1417034"/>
          <a:ext cx="1801356" cy="534316"/>
        </a:xfrm>
        <a:prstGeom prst="round2SameRect">
          <a:avLst>
            <a:gd name="adj1" fmla="val 0"/>
            <a:gd name="adj2" fmla="val 3428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fld id="{4A55204A-3ACE-47A2-BB4E-2A654FE4792F}" type="TxLink">
            <a:rPr lang="en-US" sz="1800" b="0" i="0" u="none" strike="noStrike">
              <a:solidFill>
                <a:srgbClr val="000000"/>
              </a:solidFill>
              <a:latin typeface="Calibri"/>
              <a:ea typeface="Calibri"/>
              <a:cs typeface="Calibri"/>
            </a:rPr>
            <a:pPr algn="ctr"/>
            <a:t>59460090000</a:t>
          </a:fld>
          <a:endParaRPr lang="en-US" sz="1800"/>
        </a:p>
      </xdr:txBody>
    </xdr:sp>
    <xdr:clientData/>
  </xdr:twoCellAnchor>
  <xdr:twoCellAnchor>
    <xdr:from>
      <xdr:col>13</xdr:col>
      <xdr:colOff>11430</xdr:colOff>
      <xdr:row>19</xdr:row>
      <xdr:rowOff>70075</xdr:rowOff>
    </xdr:from>
    <xdr:to>
      <xdr:col>15</xdr:col>
      <xdr:colOff>590550</xdr:colOff>
      <xdr:row>21</xdr:row>
      <xdr:rowOff>1495</xdr:rowOff>
    </xdr:to>
    <xdr:sp macro="" textlink="">
      <xdr:nvSpPr>
        <xdr:cNvPr id="7" name="Rectangle: Top Corners Rounded 6">
          <a:extLst>
            <a:ext uri="{FF2B5EF4-FFF2-40B4-BE49-F238E27FC236}">
              <a16:creationId xmlns:a16="http://schemas.microsoft.com/office/drawing/2014/main" id="{8F142F96-C846-4096-A22C-63A776B80912}"/>
            </a:ext>
          </a:extLst>
        </xdr:cNvPr>
        <xdr:cNvSpPr/>
      </xdr:nvSpPr>
      <xdr:spPr>
        <a:xfrm>
          <a:off x="12673235" y="1112812"/>
          <a:ext cx="1793736" cy="298097"/>
        </a:xfrm>
        <a:prstGeom prst="round2SameRect">
          <a:avLst>
            <a:gd name="adj1" fmla="val 46882"/>
            <a:gd name="adj2" fmla="val 0"/>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400"/>
            <a:t>Supply Difference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589721</xdr:colOff>
      <xdr:row>10</xdr:row>
      <xdr:rowOff>165651</xdr:rowOff>
    </xdr:from>
    <xdr:to>
      <xdr:col>13</xdr:col>
      <xdr:colOff>1119808</xdr:colOff>
      <xdr:row>25</xdr:row>
      <xdr:rowOff>125895</xdr:rowOff>
    </xdr:to>
    <xdr:graphicFrame macro="">
      <xdr:nvGraphicFramePr>
        <xdr:cNvPr id="3" name="Chart 2">
          <a:extLst>
            <a:ext uri="{FF2B5EF4-FFF2-40B4-BE49-F238E27FC236}">
              <a16:creationId xmlns:a16="http://schemas.microsoft.com/office/drawing/2014/main" id="{C7796975-F4EF-8856-5B3D-B3BB708D5F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59560</xdr:colOff>
      <xdr:row>10</xdr:row>
      <xdr:rowOff>88487</xdr:rowOff>
    </xdr:from>
    <xdr:to>
      <xdr:col>9</xdr:col>
      <xdr:colOff>434340</xdr:colOff>
      <xdr:row>16</xdr:row>
      <xdr:rowOff>85531</xdr:rowOff>
    </xdr:to>
    <mc:AlternateContent xmlns:mc="http://schemas.openxmlformats.org/markup-compatibility/2006">
      <mc:Choice xmlns:a14="http://schemas.microsoft.com/office/drawing/2010/main" Requires="a14">
        <xdr:graphicFrame macro="">
          <xdr:nvGraphicFramePr>
            <xdr:cNvPr id="4" name="Price Category">
              <a:extLst>
                <a:ext uri="{FF2B5EF4-FFF2-40B4-BE49-F238E27FC236}">
                  <a16:creationId xmlns:a16="http://schemas.microsoft.com/office/drawing/2014/main" id="{29448584-A9C7-60A0-9826-177B8DDB67A8}"/>
                </a:ext>
              </a:extLst>
            </xdr:cNvPr>
            <xdr:cNvGraphicFramePr/>
          </xdr:nvGraphicFramePr>
          <xdr:xfrm>
            <a:off x="0" y="0"/>
            <a:ext cx="0" cy="0"/>
          </xdr:xfrm>
          <a:graphic>
            <a:graphicData uri="http://schemas.microsoft.com/office/drawing/2010/slicer">
              <sle:slicer xmlns:sle="http://schemas.microsoft.com/office/drawing/2010/slicer" name="Price Category"/>
            </a:graphicData>
          </a:graphic>
        </xdr:graphicFrame>
      </mc:Choice>
      <mc:Fallback>
        <xdr:sp macro="" textlink="">
          <xdr:nvSpPr>
            <xdr:cNvPr id="0" name=""/>
            <xdr:cNvSpPr>
              <a:spLocks noTextEdit="1"/>
            </xdr:cNvSpPr>
          </xdr:nvSpPr>
          <xdr:spPr>
            <a:xfrm>
              <a:off x="9631213" y="1970160"/>
              <a:ext cx="1828800" cy="11167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SH PATHARE" refreshedDate="46032.814986689817" createdVersion="8" refreshedVersion="8" minRefreshableVersion="3" recordCount="187" xr:uid="{3016272B-1B7B-4DC9-84B8-EE00BB23447A}">
  <cacheSource type="worksheet">
    <worksheetSource name="Cleaned_Data"/>
  </cacheSource>
  <cacheFields count="19">
    <cacheField name="Coin Name" numFmtId="0">
      <sharedItems count="187">
        <s v="Bitcoin"/>
        <s v="Ethereum"/>
        <s v="XRP"/>
        <s v="Tether"/>
        <s v="BNB"/>
        <s v="Solana"/>
        <s v="USDC"/>
        <s v="Dogecoin"/>
        <s v="TRON"/>
        <s v="Cardano"/>
        <s v="Ripple USD"/>
        <s v="Zcash"/>
        <s v="AB"/>
        <s v="Pyth Network"/>
        <s v="BitTorrent [New]"/>
        <s v="Flow"/>
        <s v="DeXe"/>
        <s v="BUILDon"/>
        <s v="Walrus"/>
        <s v="Decentraland"/>
        <s v="Fasttoken"/>
        <s v="Jupiter Perps LP"/>
        <s v="Falcon USD"/>
        <s v="Loaded Lions"/>
        <s v="Ondo US Dollar Yield"/>
        <s v="Usual USD"/>
        <s v="Vision"/>
        <s v="Beldex"/>
        <s v="Global Dollar"/>
        <s v="Zeebu"/>
        <s v="WOO"/>
        <s v="Elixir deUSD"/>
        <s v="Yala"/>
        <s v="Polymesh"/>
        <s v="Aleo"/>
        <s v="AUSD"/>
        <s v="Babylon"/>
        <s v="Status"/>
        <s v="Enjin Coin"/>
        <s v="Vana"/>
        <s v="Definitive"/>
        <s v="Apertum"/>
        <s v="Tokenlon Network Token"/>
        <s v="BIM"/>
        <s v="Ardor"/>
        <s v="Audius"/>
        <s v="Ark"/>
        <s v="Goatseus Maximus"/>
        <s v="Comedian"/>
        <s v="Sophon"/>
        <s v="Metal DAO"/>
        <s v="Celer Network"/>
        <s v="ArchLoot"/>
        <s v="B3 (Base)"/>
        <s v="Tornado Cash"/>
        <s v="Polyhedra Network"/>
        <s v="Bounce Token"/>
        <s v="Radix"/>
        <s v="Gains Network"/>
        <s v="Quantum Resistant Ledger"/>
        <s v="Symbol"/>
        <s v="deBridge"/>
        <s v="Origin Protocol"/>
        <s v="Autonolas"/>
        <s v="Renzo"/>
        <s v="PepeCoin"/>
        <s v="Vulcan Forged (PYR)"/>
        <s v="MetYa"/>
        <s v="MetFi"/>
        <s v="Yala_"/>
        <s v="Metadium"/>
        <s v="Acala Token"/>
        <s v="XION"/>
        <s v="Roam"/>
        <s v="Fuel Network"/>
        <s v="Ampleforth"/>
        <s v="ARPA"/>
        <s v="Fair and Free"/>
        <s v="XPLA"/>
        <s v="PlatON"/>
        <s v="dYdX (ethDYDX)"/>
        <s v="Build On BNB"/>
        <s v="CLV"/>
        <s v="Kekius Maximus (kekiusmaximus.vip)"/>
        <s v="Alkimi"/>
        <s v="CreatorBid"/>
        <s v="Moby"/>
        <s v="Agoras: Tau Net"/>
        <s v="ZUSD"/>
        <s v="Cross The Ages"/>
        <s v="Amaterasu Omikami"/>
        <s v="OLAXBT"/>
        <s v="Games for a Living"/>
        <s v="Magpie"/>
        <s v="Everscale"/>
        <s v="Bulla"/>
        <s v="SIX Token"/>
        <s v="AIHub"/>
        <s v="NodeOps"/>
        <s v="GYEN"/>
        <s v="Rezor"/>
        <s v="Jerry The Turtle By Matt Furie"/>
        <s v="pSTAKE Finance"/>
        <s v="Suku"/>
        <s v="Vita Inu"/>
        <s v="Hosico"/>
        <s v="Alvara Protocol"/>
        <s v="Free Palestine"/>
        <s v="Infinitar"/>
        <s v="Biswap"/>
        <s v="PublicAI"/>
        <s v="BasedAI"/>
        <s v="Bellscoin"/>
        <s v="SIGMA"/>
        <s v="STUFF.io"/>
        <s v="Tectonic"/>
        <s v="Prosper"/>
        <s v="AKEDO"/>
        <s v="StablR USD"/>
        <s v="Counterparty"/>
        <s v="Steem Dollars"/>
        <s v="Startup"/>
        <s v="LinqAI"/>
        <s v="Baanx"/>
        <s v="TrustSwap"/>
        <s v="Tanssi"/>
        <s v="Stride"/>
        <s v="Peercoin"/>
        <s v="Fluence"/>
        <s v="Partisia Blockchain"/>
        <s v="Pain (paintoken.com)"/>
        <s v="Sentinel"/>
        <s v="Cere Network"/>
        <s v="OVR"/>
        <s v="fanC"/>
        <s v="Velvet"/>
        <s v="Wibegram"/>
        <s v="ABBC Coin"/>
        <s v="Lion Cat"/>
        <s v="Zero1 Labs"/>
        <s v="STAT"/>
        <s v="Stonks"/>
        <s v="Epic Cash"/>
        <s v="ORBIT"/>
        <s v="Upland (SPARKLET)"/>
        <s v="Troll (troll.run)"/>
        <s v="XPIN Network"/>
        <s v="Beam"/>
        <s v="Project WITH"/>
        <s v="Mysterium"/>
        <s v="PRIZM"/>
        <s v="Frodo the virtual samurai"/>
        <s v="MSTR2100"/>
        <s v="LABEL AI"/>
        <s v="RCADE"/>
        <s v="CrossFi"/>
        <s v="Boom"/>
        <s v="Izumi Finance"/>
        <s v="Push Protocol"/>
        <s v="Patriot"/>
        <s v="Panda Swap"/>
        <s v="GAM3S.GG"/>
        <s v="Harold"/>
        <s v="Decentrawood"/>
        <s v="Lumera Health"/>
        <s v="Celsius"/>
        <s v="aixCB by Virtuals"/>
        <s v="Solchat"/>
        <s v="Baby Grok (babygrok.ai)"/>
        <s v="Alpaca Finance"/>
        <s v="Nitro"/>
        <s v="MarsDAO"/>
        <s v="Cypherium"/>
        <s v="The Nation Token"/>
        <s v="Messiah"/>
        <s v="Xaya"/>
        <s v="Shiba Predator"/>
        <s v="Expand"/>
        <s v="Plearn"/>
        <s v="HODL Coin"/>
        <s v="Neutrino Index"/>
        <s v="ADAMANT Messenger"/>
        <s v="Q Protocol"/>
        <s v="Carnomaly"/>
        <s v="Tune.FM"/>
        <s v="Etherisc DIP Token"/>
        <s v="IVPAY"/>
      </sharedItems>
    </cacheField>
    <cacheField name="Symbol" numFmtId="0">
      <sharedItems count="187">
        <s v="BTC"/>
        <s v="ETH"/>
        <s v="XRP"/>
        <s v="USDT"/>
        <s v="BNB"/>
        <s v="SOL"/>
        <s v="USDC"/>
        <s v="DOGE"/>
        <s v="TRX"/>
        <s v="ADA"/>
        <s v="RLUSD"/>
        <s v="ZEC"/>
        <s v="AB"/>
        <s v="PYTH"/>
        <s v="BTT"/>
        <s v="FLOW"/>
        <s v="DEXE"/>
        <s v="B"/>
        <s v="WAL"/>
        <s v="MANA"/>
        <s v="FTN"/>
        <s v="JLP"/>
        <s v="USDf"/>
        <s v="LION"/>
        <s v="USDY"/>
        <s v="USD0"/>
        <s v="VSN"/>
        <s v="BDX"/>
        <s v="USDG"/>
        <s v="ZBU"/>
        <s v="WOO"/>
        <s v="DEUSD"/>
        <s v="YU"/>
        <s v="POLYX"/>
        <s v="ALEO"/>
        <s v="AUSD"/>
        <s v="BABY"/>
        <s v="SNT"/>
        <s v="ENJ"/>
        <s v="VANA"/>
        <s v="EDGE"/>
        <s v="APTM"/>
        <s v="LON"/>
        <s v="BIM"/>
        <s v="ARDR"/>
        <s v="AUDIO"/>
        <s v="ARK"/>
        <s v="GOAT"/>
        <s v="BAN"/>
        <s v="SOPH"/>
        <s v="MTL"/>
        <s v="CELR"/>
        <s v="AL"/>
        <s v="B3"/>
        <s v="TORN"/>
        <s v="ZKJ"/>
        <s v="AUCTION"/>
        <s v="XRD"/>
        <s v="GNS"/>
        <s v="QRL"/>
        <s v="XYM"/>
        <s v="DBR"/>
        <s v="OGN"/>
        <s v="OLAS"/>
        <s v="REZ"/>
        <s v="PEPECOIN"/>
        <s v="PYR"/>
        <s v="MET"/>
        <s v="METFI"/>
        <s v="YALA"/>
        <s v="META"/>
        <s v="ACA"/>
        <s v="XION"/>
        <s v="ROAM"/>
        <s v="FUEL"/>
        <s v="AMPL"/>
        <s v="ARPA"/>
        <s v="FAIR3"/>
        <s v="XPLA"/>
        <s v="LAT"/>
        <s v="ETHDYDX"/>
        <s v="BOB"/>
        <s v="CLV"/>
        <s v="KEKIUS"/>
        <s v="ADS"/>
        <s v="BID"/>
        <s v="MOBY"/>
        <s v="AGRS"/>
        <s v="ZUSD"/>
        <s v="CTA"/>
        <s v="OMIKAMI"/>
        <s v="AIO"/>
        <s v="GFAL"/>
        <s v="MGP"/>
        <s v="EVER"/>
        <s v="BULLA"/>
        <s v="SIX"/>
        <s v="AIH"/>
        <s v="NODE"/>
        <s v="GYEN"/>
        <s v="RZR"/>
        <s v="JYAI"/>
        <s v="PSTAKE"/>
        <s v="SUKU"/>
        <s v="VINU"/>
        <s v="HOSICO"/>
        <s v="ALVA"/>
        <s v="YAFA"/>
        <s v="IGT"/>
        <s v="BSW"/>
        <s v="PUBLIC"/>
        <s v="BASEDAI"/>
        <s v="BELLS"/>
        <s v="SIGMA"/>
        <s v="STUFF"/>
        <s v="TONIC"/>
        <s v="PROS"/>
        <s v="AKE"/>
        <s v="USDR"/>
        <s v="XCP"/>
        <s v="SBD"/>
        <s v="STARTUP"/>
        <s v="LNQ"/>
        <s v="BXX"/>
        <s v="SWAP"/>
        <s v="TANSSI"/>
        <s v="STRD"/>
        <s v="PPC"/>
        <s v="FLT"/>
        <s v="MPC"/>
        <s v="PAIN"/>
        <s v="P2P"/>
        <s v="CERE"/>
        <s v="OVR"/>
        <s v="FANC"/>
        <s v="VELVET"/>
        <s v="WIBE"/>
        <s v="ABBC"/>
        <s v="LCAT"/>
        <s v="DEAI"/>
        <s v="STAT"/>
        <s v="STNK"/>
        <s v="EPIC"/>
        <s v="GRIFT"/>
        <s v="SPARKLET"/>
        <s v="TROLL"/>
        <s v="XPIN"/>
        <s v="BEAM"/>
        <s v="WIKEN"/>
        <s v="MYST"/>
        <s v="PZM"/>
        <s v="FROG"/>
        <s v="MSTR"/>
        <s v="LBL"/>
        <s v="RCADE"/>
        <s v="XFI"/>
        <s v="BOOM"/>
        <s v="IZI"/>
        <s v="PUSH"/>
        <s v="PATRIOT"/>
        <s v="PANDA"/>
        <s v="G3"/>
        <s v="HAROLD"/>
        <s v="DEOD"/>
        <s v="LUR"/>
        <s v="CEL"/>
        <s v="AIXCB"/>
        <s v="CHAT"/>
        <s v="BABYGROK"/>
        <s v="ALPACA"/>
        <s v="NITRO"/>
        <s v="MDAO"/>
        <s v="CPH"/>
        <s v="NATO"/>
        <s v="MSIA"/>
        <s v="CHI"/>
        <s v="QOM"/>
        <s v="XZK"/>
        <s v="PLN"/>
        <s v="HODL"/>
        <s v="XTN"/>
        <s v="ADM"/>
        <s v="QGOV"/>
        <s v="CARR"/>
        <s v="JAM"/>
        <s v="DIP"/>
        <s v="IVPAY"/>
      </sharedItems>
    </cacheField>
    <cacheField name="Price (USD)" numFmtId="0">
      <sharedItems containsSemiMixedTypes="0" containsString="0" containsNumber="1" minValue="1E-4" maxValue="112396.23"/>
    </cacheField>
    <cacheField name="1h Change (%)" numFmtId="0">
      <sharedItems containsSemiMixedTypes="0" containsString="0" containsNumber="1" minValue="0" maxValue="4.2700000000000002E-2"/>
    </cacheField>
    <cacheField name="Market Cap" numFmtId="0">
      <sharedItems containsSemiMixedTypes="0" containsString="0" containsNumber="1" containsInteger="1" minValue="1736200" maxValue="2236591973065"/>
    </cacheField>
    <cacheField name="Volume (24h) USD" numFmtId="0">
      <sharedItems containsSemiMixedTypes="0" containsString="0" containsNumber="1" containsInteger="1" minValue="10" maxValue="117252093277"/>
    </cacheField>
    <cacheField name="Circulating Supply" numFmtId="0">
      <sharedItems/>
    </cacheField>
    <cacheField name="Circulating_Supply($)" numFmtId="0">
      <sharedItems containsSemiMixedTypes="0" containsString="0" containsNumber="1" minValue="579840" maxValue="986060000000000"/>
    </cacheField>
    <cacheField name="$Volume per Supply" numFmtId="0">
      <sharedItems containsSemiMixedTypes="0" containsString="0" containsNumber="1" minValue="5.0510102020404078E-12" maxValue="3073.6519340030136"/>
    </cacheField>
    <cacheField name="Rank" numFmtId="0">
      <sharedItems containsSemiMixedTypes="0" containsString="0" containsNumber="1" containsInteger="1" minValue="1" maxValue="187"/>
    </cacheField>
    <cacheField name="Price Range" numFmtId="0">
      <sharedItems count="7">
        <s v="10000+"/>
        <s v="100-10000"/>
        <s v="2-10"/>
        <s v="0.5-1"/>
        <s v="0-0.5"/>
        <s v="10-100"/>
        <s v="1-2"/>
      </sharedItems>
    </cacheField>
    <cacheField name="24h Change (%)" numFmtId="0">
      <sharedItems containsSemiMixedTypes="0" containsString="0" containsNumber="1" minValue="0" maxValue="1.0247999999999999"/>
    </cacheField>
    <cacheField name="7d Change (%)" numFmtId="0">
      <sharedItems containsSemiMixedTypes="0" containsString="0" containsNumber="1" minValue="0" maxValue="7.1735999999999995"/>
    </cacheField>
    <cacheField name="Price Range New" numFmtId="0">
      <sharedItems count="5">
        <s v="&gt; 50"/>
        <s v="0.5 - 5"/>
        <s v="0.05 - 0.5"/>
        <s v="5 - 50"/>
        <s v="0 - 0.05"/>
      </sharedItems>
    </cacheField>
    <cacheField name="Average Downfall %" numFmtId="0">
      <sharedItems containsSemiMixedTypes="0" containsString="0" containsNumber="1" minValue="0" maxValue="2.747033333333333"/>
    </cacheField>
    <cacheField name="1-Hour Before Price" numFmtId="0">
      <sharedItems containsSemiMixedTypes="0" containsString="0" containsNumber="1" minValue="9.9999800000399994E-5" maxValue="112388.58757604483"/>
    </cacheField>
    <cacheField name="24-Hour Before Price (Decrease)" numFmtId="0">
      <sharedItems containsSemiMixedTypes="0" containsString="0" containsNumber="1" minValue="1.0000480023041107E-4" maxValue="112579.96049552869"/>
    </cacheField>
    <cacheField name="7-Day Before Price" numFmtId="0">
      <sharedItems containsSemiMixedTypes="0" containsString="0" containsNumber="1" minValue="9.996641128580798E-5" maxValue="111126.71836934854"/>
    </cacheField>
    <cacheField name="Price Change Amount (1 hr)" numFmtId="0">
      <sharedItems containsSemiMixedTypes="0" containsString="0" containsNumber="1" minValue="0" maxValue="7.6424239551706705"/>
    </cacheField>
  </cacheFields>
  <extLst>
    <ext xmlns:x14="http://schemas.microsoft.com/office/spreadsheetml/2009/9/main" uri="{725AE2AE-9491-48be-B2B4-4EB974FC3084}">
      <x14:pivotCacheDefinition pivotCacheId="116021626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SH PATHARE" refreshedDate="46032.833276967591" createdVersion="8" refreshedVersion="8" minRefreshableVersion="3" recordCount="187" xr:uid="{A8A35EE9-FF5B-4FBD-B845-98ACA8365B0B}">
  <cacheSource type="worksheet">
    <worksheetSource name="Table3"/>
  </cacheSource>
  <cacheFields count="7">
    <cacheField name="Coin Name" numFmtId="0">
      <sharedItems count="187">
        <s v="Bitcoin"/>
        <s v="Ethereum"/>
        <s v="XRP"/>
        <s v="Tether"/>
        <s v="BNB"/>
        <s v="Solana"/>
        <s v="USDC"/>
        <s v="Dogecoin"/>
        <s v="TRON"/>
        <s v="Cardano"/>
        <s v="Ripple USD"/>
        <s v="Zcash"/>
        <s v="AB"/>
        <s v="Pyth Network"/>
        <s v="BitTorrent [New]"/>
        <s v="Flow"/>
        <s v="DeXe"/>
        <s v="BUILDon"/>
        <s v="Walrus"/>
        <s v="Decentraland"/>
        <s v="Fasttoken"/>
        <s v="Jupiter Perps LP"/>
        <s v="Falcon USD"/>
        <s v="Loaded Lions"/>
        <s v="Ondo US Dollar Yield"/>
        <s v="Usual USD"/>
        <s v="Vision"/>
        <s v="Beldex"/>
        <s v="Global Dollar"/>
        <s v="Zeebu"/>
        <s v="WOO"/>
        <s v="Elixir deUSD"/>
        <s v="Yala"/>
        <s v="Polymesh"/>
        <s v="Aleo"/>
        <s v="AUSD"/>
        <s v="Babylon"/>
        <s v="Status"/>
        <s v="Enjin Coin"/>
        <s v="Vana"/>
        <s v="Definitive"/>
        <s v="Apertum"/>
        <s v="Tokenlon Network Token"/>
        <s v="BIM"/>
        <s v="Ardor"/>
        <s v="Audius"/>
        <s v="Ark"/>
        <s v="Goatseus Maximus"/>
        <s v="Comedian"/>
        <s v="Sophon"/>
        <s v="Metal DAO"/>
        <s v="Celer Network"/>
        <s v="ArchLoot"/>
        <s v="B3 (Base)"/>
        <s v="Tornado Cash"/>
        <s v="Polyhedra Network"/>
        <s v="Bounce Token"/>
        <s v="Radix"/>
        <s v="Gains Network"/>
        <s v="Quantum Resistant Ledger"/>
        <s v="Symbol"/>
        <s v="deBridge"/>
        <s v="Origin Protocol"/>
        <s v="Autonolas"/>
        <s v="Renzo"/>
        <s v="PepeCoin"/>
        <s v="Vulcan Forged (PYR)"/>
        <s v="MetYa"/>
        <s v="MetFi"/>
        <s v="Yala_"/>
        <s v="Metadium"/>
        <s v="Acala Token"/>
        <s v="XION"/>
        <s v="Roam"/>
        <s v="Fuel Network"/>
        <s v="Ampleforth"/>
        <s v="ARPA"/>
        <s v="Fair and Free"/>
        <s v="XPLA"/>
        <s v="PlatON"/>
        <s v="dYdX (ethDYDX)"/>
        <s v="Build On BNB"/>
        <s v="CLV"/>
        <s v="Kekius Maximus (kekiusmaximus.vip)"/>
        <s v="Alkimi"/>
        <s v="CreatorBid"/>
        <s v="Moby"/>
        <s v="Agoras: Tau Net"/>
        <s v="ZUSD"/>
        <s v="Cross The Ages"/>
        <s v="Amaterasu Omikami"/>
        <s v="OLAXBT"/>
        <s v="Games for a Living"/>
        <s v="Magpie"/>
        <s v="Everscale"/>
        <s v="Bulla"/>
        <s v="SIX Token"/>
        <s v="AIHub"/>
        <s v="NodeOps"/>
        <s v="GYEN"/>
        <s v="Rezor"/>
        <s v="Jerry The Turtle By Matt Furie"/>
        <s v="pSTAKE Finance"/>
        <s v="Suku"/>
        <s v="Vita Inu"/>
        <s v="Hosico"/>
        <s v="Alvara Protocol"/>
        <s v="Free Palestine"/>
        <s v="Infinitar"/>
        <s v="Biswap"/>
        <s v="PublicAI"/>
        <s v="BasedAI"/>
        <s v="Bellscoin"/>
        <s v="SIGMA"/>
        <s v="STUFF.io"/>
        <s v="Tectonic"/>
        <s v="Prosper"/>
        <s v="AKEDO"/>
        <s v="StablR USD"/>
        <s v="Counterparty"/>
        <s v="Steem Dollars"/>
        <s v="Startup"/>
        <s v="LinqAI"/>
        <s v="Baanx"/>
        <s v="TrustSwap"/>
        <s v="Tanssi"/>
        <s v="Stride"/>
        <s v="Peercoin"/>
        <s v="Fluence"/>
        <s v="Partisia Blockchain"/>
        <s v="Pain (paintoken.com)"/>
        <s v="Sentinel"/>
        <s v="Cere Network"/>
        <s v="OVR"/>
        <s v="fanC"/>
        <s v="Velvet"/>
        <s v="Wibegram"/>
        <s v="ABBC Coin"/>
        <s v="Lion Cat"/>
        <s v="Zero1 Labs"/>
        <s v="STAT"/>
        <s v="Stonks"/>
        <s v="Epic Cash"/>
        <s v="ORBIT"/>
        <s v="Upland (SPARKLET)"/>
        <s v="Troll (troll.run)"/>
        <s v="XPIN Network"/>
        <s v="Beam"/>
        <s v="Project WITH"/>
        <s v="Mysterium"/>
        <s v="PRIZM"/>
        <s v="Frodo the virtual samurai"/>
        <s v="MSTR2100"/>
        <s v="LABEL AI"/>
        <s v="RCADE"/>
        <s v="CrossFi"/>
        <s v="Boom"/>
        <s v="Izumi Finance"/>
        <s v="Push Protocol"/>
        <s v="Patriot"/>
        <s v="Panda Swap"/>
        <s v="GAM3S.GG"/>
        <s v="Harold"/>
        <s v="Decentrawood"/>
        <s v="Lumera Health"/>
        <s v="Celsius"/>
        <s v="aixCB by Virtuals"/>
        <s v="Solchat"/>
        <s v="Baby Grok (babygrok.ai)"/>
        <s v="Alpaca Finance"/>
        <s v="Nitro"/>
        <s v="MarsDAO"/>
        <s v="Cypherium"/>
        <s v="The Nation Token"/>
        <s v="Messiah"/>
        <s v="Xaya"/>
        <s v="Shiba Predator"/>
        <s v="Expand"/>
        <s v="Plearn"/>
        <s v="HODL Coin"/>
        <s v="Neutrino Index"/>
        <s v="ADAMANT Messenger"/>
        <s v="Q Protocol"/>
        <s v="Carnomaly"/>
        <s v="Tune.FM"/>
        <s v="Etherisc DIP Token"/>
        <s v="IVPAY"/>
      </sharedItems>
    </cacheField>
    <cacheField name="Symbol" numFmtId="0">
      <sharedItems/>
    </cacheField>
    <cacheField name="Price (USD)" numFmtId="0">
      <sharedItems containsSemiMixedTypes="0" containsString="0" containsNumber="1" minValue="1E-4" maxValue="112396.23"/>
    </cacheField>
    <cacheField name="1h Change (%)" numFmtId="0">
      <sharedItems containsSemiMixedTypes="0" containsString="0" containsNumber="1" minValue="0" maxValue="4.2700000000000002E-2"/>
    </cacheField>
    <cacheField name="1-Hour Before Price" numFmtId="0">
      <sharedItems containsSemiMixedTypes="0" containsString="0" containsNumber="1" minValue="9.9999800000399994E-5" maxValue="112388.58757604483"/>
    </cacheField>
    <cacheField name="Price Change Amount" numFmtId="0">
      <sharedItems containsSemiMixedTypes="0" containsString="0" containsNumber="1" minValue="0" maxValue="7.6424239551706705" count="178">
        <n v="7.6424239551706705"/>
        <n v="0.19915410637349851"/>
        <n v="1.3589388477530662E-4"/>
        <n v="6.9999510003970755E-6"/>
        <n v="2.0757341823809838E-2"/>
        <n v="1.6298388725687118E-2"/>
        <n v="5.9981640109230128E-6"/>
        <n v="1.48529048553947E-5"/>
        <n v="3.5019649803902375E-6"/>
        <n v="2.78167098652915E-5"/>
        <n v="9.9949900045359641E-7"/>
        <n v="3.3957283417365147E-3"/>
        <n v="2.7599172024855845E-7"/>
        <n v="6.0888833780525786E-6"/>
        <n v="4.0019759880993711E-7"/>
        <n v="5.8634120488343378E-6"/>
        <n v="2.2259332220020411E-4"/>
        <n v="6.3513301353790297E-6"/>
        <n v="1.33612590784149E-5"/>
        <n v="1.1239361664860947E-5"/>
        <n v="1.8159927360095196E-5"/>
        <n v="2.5754789524867761E-4"/>
        <n v="1.9999960000349759E-6"/>
        <n v="5.2798838425308081E-7"/>
        <n v="1.2099866901538192E-5"/>
        <n v="0"/>
        <n v="1.0294892601347971E-5"/>
        <n v="1.7548596382421788E-6"/>
        <n v="2.9993910017900305E-6"/>
        <n v="3.1039503368024413E-5"/>
        <n v="2.8559885759116277E-7"/>
        <n v="1.9991960016341181E-6"/>
        <n v="5.7273537237834127E-6"/>
        <n v="3.6426328151040188E-5"/>
        <n v="9.9969900024809988E-7"/>
        <n v="2.4798760062047509E-6"/>
        <n v="1.3349933250528245E-7"/>
        <n v="2.9281740885206409E-6"/>
        <n v="8.0558469389480081E-5"/>
        <n v="5.7095663372419558E-5"/>
        <n v="1.6199838001718092E-5"/>
        <n v="3.7439513286496862E-5"/>
        <n v="1.7299965400507933E-7"/>
        <n v="1.2159768964375983E-6"/>
        <n v="2.3419582181716248E-5"/>
        <n v="7.5409363975986743E-6"/>
        <n v="3.2450766870861791E-6"/>
        <n v="2.4176138437373429E-6"/>
        <n v="6.562740935245337E-6"/>
        <n v="4.1597836912370123E-7"/>
        <n v="5.5859608982800069E-7"/>
        <n v="2.3199814401606705E-8"/>
        <n v="2.8295320912263833E-4"/>
        <n v="3.8135199161015709E-6"/>
        <n v="2.1251553717505089E-4"/>
        <n v="7.2798980814067771E-8"/>
        <n v="6.72679146944688E-5"/>
        <n v="8.7439632847741144E-5"/>
        <n v="3.7759395849629174E-7"/>
        <n v="8.0196456621606238E-6"/>
        <n v="6.0598545634782397E-6"/>
        <n v="7.3155683814711547E-7"/>
        <n v="1.8921648525849211E-5"/>
        <n v="4.0398384064666004E-5"/>
        <n v="7.7187607183948348E-6"/>
        <n v="4.8539854380358349E-7"/>
        <n v="1.1304006983431369E-5"/>
        <n v="2.4599704803382472E-7"/>
        <n v="7.5248118796764074E-7"/>
        <n v="8.0875721184980875E-5"/>
        <n v="7.4245099823261329E-6"/>
        <n v="8.5398804416068896E-8"/>
        <n v="2.4599950800840986E-6"/>
        <n v="4.331917693549403E-7"/>
        <n v="2.6566087241719494E-6"/>
        <n v="6.8889119950107935E-6"/>
        <n v="6.2000141977424164E-7"/>
        <n v="4.1684607131386997E-5"/>
        <n v="2.8192956860600971E-6"/>
        <n v="1.0549472526412418E-6"/>
        <n v="2.8118935036063053E-6"/>
        <n v="8.794390916028183E-6"/>
        <n v="1.5299908200441803E-7"/>
        <n v="1.1087555861766241E-5"/>
        <n v="2.9963910107566605E-6"/>
        <n v="5.9999820001266357E-8"/>
        <n v="4.248179094681892E-6"/>
        <n v="5.8293820854975198E-7"/>
        <n v="3.759984960015339E-8"/>
        <n v="4.6479674642441182E-7"/>
        <n v="1.6784707577537084E-6"/>
        <n v="8.4245787710912623E-4"/>
        <n v="1.1522001711838925E-5"/>
        <n v="3.2198518868167825E-7"/>
        <n v="4.3999516005470418E-9"/>
        <n v="1.0399459228114215E-8"/>
        <n v="2.9899970097058137E-8"/>
        <n v="2.9354796453329168E-6"/>
        <n v="2.015971776389569E-7"/>
        <n v="1.5899012180020655E-5"/>
        <n v="1.7759786882440287E-7"/>
        <n v="1.2039662889429259E-6"/>
        <n v="1.8587955324909922E-6"/>
        <n v="2.8199859000710426E-7"/>
        <n v="1.4944712543207839E-5"/>
        <n v="4.7645612140823079E-5"/>
        <n v="2.0332665442868852E-6"/>
        <n v="3.6536821296489358E-7"/>
        <n v="3.7993062353830487E-6"/>
        <n v="8.2038882522339485E-6"/>
        <n v="4.599576838935221E-8"/>
        <n v="4.9964750176156869E-6"/>
        <n v="3.0419726222419285E-5"/>
        <n v="3.3076776159379762E-5"/>
        <n v="9.9428764549665261E-7"/>
        <n v="5.0819288530123963E-7"/>
        <n v="1.0943737350291305E-6"/>
        <n v="5.3998652083525611E-6"/>
        <n v="1.6194336032171464E-6"/>
        <n v="4.2439175115538408E-6"/>
        <n v="1.2521061594328309E-5"/>
        <n v="5.2049219262384483E-7"/>
        <n v="3.859992279975355E-8"/>
        <n v="3.9318794143672342E-4"/>
        <n v="1.7999892000628188E-9"/>
        <n v="3.7998556054940832E-8"/>
        <n v="2.4335561960020513E-6"/>
        <n v="5.8799294408266867E-8"/>
        <n v="9.6179707426563565E-6"/>
        <n v="2.8709684193328755E-6"/>
        <n v="6.4899286107526766E-8"/>
        <n v="3.2918322013329032E-6"/>
        <n v="5.2109531013810884E-7"/>
        <n v="2.2239288342829067E-6"/>
        <n v="1.0780117166060421E-3"/>
        <n v="3.6135999816000464E-5"/>
        <n v="4.731569427183363E-7"/>
        <n v="7.3199780400295955E-8"/>
        <n v="1.1223707246932335E-5"/>
        <n v="2.5820472245746164E-7"/>
        <n v="2.7599724003110615E-7"/>
        <n v="8.5798112441515945E-8"/>
        <n v="2.0244816008013755E-5"/>
        <n v="2.6999918999789235E-9"/>
        <n v="5.5196191462813897E-8"/>
        <n v="4.3738819051897249E-6"/>
        <n v="6.4796500989002664E-8"/>
        <n v="3.8396313953878523E-8"/>
        <n v="8.6398617622079898E-7"/>
        <n v="1.4782344377409912E-6"/>
        <n v="1.2599962200335324E-8"/>
        <n v="1.0584693043921845E-6"/>
        <n v="2.7377974029909116E-7"/>
        <n v="8.4998555024279332E-8"/>
        <n v="1.1199641611467012E-7"/>
        <n v="2.3369041869236024E-7"/>
        <n v="4.3650753974855405E-4"/>
        <n v="5.1980257421563314E-6"/>
        <n v="8.909705979682353E-8"/>
        <n v="5.4747130964760693E-5"/>
        <n v="7.9649283156457695E-7"/>
        <n v="1.1455266862928082E-6"/>
        <n v="7.7558914175074323E-7"/>
        <n v="4.0429474416903144E-7"/>
        <n v="1.3109698476961029E-7"/>
        <n v="1.7225431560713433E-6"/>
        <n v="1.2393791854525826E-5"/>
        <n v="4.1799540204806584E-7"/>
        <n v="8.777078406768668E-6"/>
        <n v="6.0378950652055161E-7"/>
        <n v="6.1199816398654905E-8"/>
        <n v="7.6827194787822822E-7"/>
        <n v="2.5010149248896885E-6"/>
        <n v="2.2259688364431596E-7"/>
        <n v="8.5798884615073678E-8"/>
        <n v="6.3796299814514873E-8"/>
        <n v="1.9999960001115206E-10"/>
        <n v="4.939871563365561E-8"/>
      </sharedItems>
    </cacheField>
    <cacheField name="Price Range" numFmtId="0">
      <sharedItems count="2">
        <s v="&gt;= $10"/>
        <s v="&lt; $10"/>
      </sharedItems>
    </cacheField>
  </cacheFields>
  <extLst>
    <ext xmlns:x14="http://schemas.microsoft.com/office/spreadsheetml/2009/9/main" uri="{725AE2AE-9491-48be-B2B4-4EB974FC3084}">
      <x14:pivotCacheDefinition pivotCacheId="11235247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SH PATHARE" refreshedDate="46033.03303958333" createdVersion="8" refreshedVersion="8" minRefreshableVersion="3" recordCount="187" xr:uid="{5DAA89EE-AD7C-4FDF-8C04-B80FDB1BB0C9}">
  <cacheSource type="worksheet">
    <worksheetSource name="Table5"/>
  </cacheSource>
  <cacheFields count="3">
    <cacheField name="Coin Name" numFmtId="0">
      <sharedItems count="187">
        <s v="Bitcoin"/>
        <s v="Ethereum"/>
        <s v="XRP"/>
        <s v="Tether"/>
        <s v="BNB"/>
        <s v="Solana"/>
        <s v="USDC"/>
        <s v="Dogecoin"/>
        <s v="TRON"/>
        <s v="Cardano"/>
        <s v="Ripple USD"/>
        <s v="Zcash"/>
        <s v="AB"/>
        <s v="Pyth Network"/>
        <s v="BitTorrent [New]"/>
        <s v="Flow"/>
        <s v="DeXe"/>
        <s v="BUILDon"/>
        <s v="Walrus"/>
        <s v="Decentraland"/>
        <s v="Fasttoken"/>
        <s v="Jupiter Perps LP"/>
        <s v="Falcon USD"/>
        <s v="Loaded Lions"/>
        <s v="Ondo US Dollar Yield"/>
        <s v="Usual USD"/>
        <s v="Vision"/>
        <s v="Beldex"/>
        <s v="Global Dollar"/>
        <s v="Zeebu"/>
        <s v="WOO"/>
        <s v="Elixir deUSD"/>
        <s v="Yala"/>
        <s v="Polymesh"/>
        <s v="Aleo"/>
        <s v="AUSD"/>
        <s v="Babylon"/>
        <s v="Status"/>
        <s v="Enjin Coin"/>
        <s v="Vana"/>
        <s v="Definitive"/>
        <s v="Apertum"/>
        <s v="Tokenlon Network Token"/>
        <s v="BIM"/>
        <s v="Ardor"/>
        <s v="Audius"/>
        <s v="Ark"/>
        <s v="Goatseus Maximus"/>
        <s v="Comedian"/>
        <s v="Sophon"/>
        <s v="Metal DAO"/>
        <s v="Celer Network"/>
        <s v="ArchLoot"/>
        <s v="B3 (Base)"/>
        <s v="Tornado Cash"/>
        <s v="Polyhedra Network"/>
        <s v="Bounce Token"/>
        <s v="Radix"/>
        <s v="Gains Network"/>
        <s v="Quantum Resistant Ledger"/>
        <s v="Symbol"/>
        <s v="deBridge"/>
        <s v="Origin Protocol"/>
        <s v="Autonolas"/>
        <s v="Renzo"/>
        <s v="PepeCoin"/>
        <s v="Vulcan Forged (PYR)"/>
        <s v="MetYa"/>
        <s v="MetFi"/>
        <s v="Yala_"/>
        <s v="Metadium"/>
        <s v="Acala Token"/>
        <s v="XION"/>
        <s v="Roam"/>
        <s v="Fuel Network"/>
        <s v="Ampleforth"/>
        <s v="ARPA"/>
        <s v="Fair and Free"/>
        <s v="XPLA"/>
        <s v="PlatON"/>
        <s v="dYdX (ethDYDX)"/>
        <s v="Build On BNB"/>
        <s v="CLV"/>
        <s v="Kekius Maximus (kekiusmaximus.vip)"/>
        <s v="Alkimi"/>
        <s v="CreatorBid"/>
        <s v="Moby"/>
        <s v="Agoras: Tau Net"/>
        <s v="ZUSD"/>
        <s v="Cross The Ages"/>
        <s v="Amaterasu Omikami"/>
        <s v="OLAXBT"/>
        <s v="Games for a Living"/>
        <s v="Magpie"/>
        <s v="Everscale"/>
        <s v="Bulla"/>
        <s v="SIX Token"/>
        <s v="AIHub"/>
        <s v="NodeOps"/>
        <s v="GYEN"/>
        <s v="Rezor"/>
        <s v="Jerry The Turtle By Matt Furie"/>
        <s v="pSTAKE Finance"/>
        <s v="Suku"/>
        <s v="Vita Inu"/>
        <s v="Hosico"/>
        <s v="Alvara Protocol"/>
        <s v="Free Palestine"/>
        <s v="Infinitar"/>
        <s v="Biswap"/>
        <s v="PublicAI"/>
        <s v="BasedAI"/>
        <s v="Bellscoin"/>
        <s v="SIGMA"/>
        <s v="STUFF.io"/>
        <s v="Tectonic"/>
        <s v="Prosper"/>
        <s v="AKEDO"/>
        <s v="StablR USD"/>
        <s v="Counterparty"/>
        <s v="Steem Dollars"/>
        <s v="Startup"/>
        <s v="LinqAI"/>
        <s v="Baanx"/>
        <s v="TrustSwap"/>
        <s v="Tanssi"/>
        <s v="Stride"/>
        <s v="Peercoin"/>
        <s v="Fluence"/>
        <s v="Partisia Blockchain"/>
        <s v="Pain (paintoken.com)"/>
        <s v="Sentinel"/>
        <s v="Cere Network"/>
        <s v="OVR"/>
        <s v="fanC"/>
        <s v="Velvet"/>
        <s v="Wibegram"/>
        <s v="ABBC Coin"/>
        <s v="Lion Cat"/>
        <s v="Zero1 Labs"/>
        <s v="STAT"/>
        <s v="Stonks"/>
        <s v="Epic Cash"/>
        <s v="ORBIT"/>
        <s v="Upland (SPARKLET)"/>
        <s v="Troll (troll.run)"/>
        <s v="XPIN Network"/>
        <s v="Beam"/>
        <s v="Project WITH"/>
        <s v="Mysterium"/>
        <s v="PRIZM"/>
        <s v="Frodo the virtual samurai"/>
        <s v="MSTR2100"/>
        <s v="LABEL AI"/>
        <s v="RCADE"/>
        <s v="CrossFi"/>
        <s v="Boom"/>
        <s v="Izumi Finance"/>
        <s v="Push Protocol"/>
        <s v="Patriot"/>
        <s v="Panda Swap"/>
        <s v="GAM3S.GG"/>
        <s v="Harold"/>
        <s v="Decentrawood"/>
        <s v="Lumera Health"/>
        <s v="Celsius"/>
        <s v="aixCB by Virtuals"/>
        <s v="Solchat"/>
        <s v="Baby Grok (babygrok.ai)"/>
        <s v="Alpaca Finance"/>
        <s v="Nitro"/>
        <s v="MarsDAO"/>
        <s v="Cypherium"/>
        <s v="The Nation Token"/>
        <s v="Messiah"/>
        <s v="Xaya"/>
        <s v="Shiba Predator"/>
        <s v="Expand"/>
        <s v="Plearn"/>
        <s v="HODL Coin"/>
        <s v="Neutrino Index"/>
        <s v="ADAMANT Messenger"/>
        <s v="Q Protocol"/>
        <s v="Carnomaly"/>
        <s v="Tune.FM"/>
        <s v="Etherisc DIP Token"/>
        <s v="IVPAY"/>
      </sharedItems>
    </cacheField>
    <cacheField name="Volume (24h) USD" numFmtId="0">
      <sharedItems containsSemiMixedTypes="0" containsString="0" containsNumber="1" containsInteger="1" minValue="10" maxValue="117252093277"/>
    </cacheField>
    <cacheField name="Valid Coin" numFmtId="0">
      <sharedItems count="2">
        <s v="Yes"/>
        <s v="No"/>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SH PATHARE" refreshedDate="46033.667265277778" createdVersion="8" refreshedVersion="8" minRefreshableVersion="3" recordCount="187" xr:uid="{78A80F71-8F0A-46D5-A940-3FCC3F3D5E9D}">
  <cacheSource type="worksheet">
    <worksheetSource name="Table7"/>
  </cacheSource>
  <cacheFields count="4">
    <cacheField name="Coin Name" numFmtId="0">
      <sharedItems count="187">
        <s v="Bitcoin"/>
        <s v="Ethereum"/>
        <s v="XRP"/>
        <s v="Tether"/>
        <s v="BNB"/>
        <s v="Solana"/>
        <s v="USDC"/>
        <s v="Dogecoin"/>
        <s v="TRON"/>
        <s v="Cardano"/>
        <s v="Ripple USD"/>
        <s v="Zcash"/>
        <s v="AB"/>
        <s v="Pyth Network"/>
        <s v="BitTorrent [New]"/>
        <s v="Flow"/>
        <s v="DeXe"/>
        <s v="BUILDon"/>
        <s v="Walrus"/>
        <s v="Decentraland"/>
        <s v="Fasttoken"/>
        <s v="Jupiter Perps LP"/>
        <s v="Falcon USD"/>
        <s v="Loaded Lions"/>
        <s v="Ondo US Dollar Yield"/>
        <s v="Usual USD"/>
        <s v="Vision"/>
        <s v="Beldex"/>
        <s v="Global Dollar"/>
        <s v="Zeebu"/>
        <s v="WOO"/>
        <s v="Elixir deUSD"/>
        <s v="Yala"/>
        <s v="Polymesh"/>
        <s v="Aleo"/>
        <s v="AUSD"/>
        <s v="Babylon"/>
        <s v="Status"/>
        <s v="Enjin Coin"/>
        <s v="Vana"/>
        <s v="Definitive"/>
        <s v="Apertum"/>
        <s v="Tokenlon Network Token"/>
        <s v="BIM"/>
        <s v="Ardor"/>
        <s v="Audius"/>
        <s v="Ark"/>
        <s v="Goatseus Maximus"/>
        <s v="Comedian"/>
        <s v="Sophon"/>
        <s v="Metal DAO"/>
        <s v="Celer Network"/>
        <s v="ArchLoot"/>
        <s v="B3 (Base)"/>
        <s v="Tornado Cash"/>
        <s v="Polyhedra Network"/>
        <s v="Bounce Token"/>
        <s v="Radix"/>
        <s v="Gains Network"/>
        <s v="Quantum Resistant Ledger"/>
        <s v="Symbol"/>
        <s v="deBridge"/>
        <s v="Origin Protocol"/>
        <s v="Autonolas"/>
        <s v="Renzo"/>
        <s v="PepeCoin"/>
        <s v="Vulcan Forged (PYR)"/>
        <s v="MetYa"/>
        <s v="MetFi"/>
        <s v="Yala_"/>
        <s v="Metadium"/>
        <s v="Acala Token"/>
        <s v="XION"/>
        <s v="Roam"/>
        <s v="Fuel Network"/>
        <s v="Ampleforth"/>
        <s v="ARPA"/>
        <s v="Fair and Free"/>
        <s v="XPLA"/>
        <s v="PlatON"/>
        <s v="dYdX (ethDYDX)"/>
        <s v="Build On BNB"/>
        <s v="CLV"/>
        <s v="Kekius Maximus (kekiusmaximus.vip)"/>
        <s v="Alkimi"/>
        <s v="CreatorBid"/>
        <s v="Moby"/>
        <s v="Agoras: Tau Net"/>
        <s v="ZUSD"/>
        <s v="Cross The Ages"/>
        <s v="Amaterasu Omikami"/>
        <s v="OLAXBT"/>
        <s v="Games for a Living"/>
        <s v="Magpie"/>
        <s v="Everscale"/>
        <s v="Bulla"/>
        <s v="SIX Token"/>
        <s v="AIHub"/>
        <s v="NodeOps"/>
        <s v="GYEN"/>
        <s v="Rezor"/>
        <s v="Jerry The Turtle By Matt Furie"/>
        <s v="pSTAKE Finance"/>
        <s v="Suku"/>
        <s v="Vita Inu"/>
        <s v="Hosico"/>
        <s v="Alvara Protocol"/>
        <s v="Free Palestine"/>
        <s v="Infinitar"/>
        <s v="Biswap"/>
        <s v="PublicAI"/>
        <s v="BasedAI"/>
        <s v="Bellscoin"/>
        <s v="SIGMA"/>
        <s v="STUFF.io"/>
        <s v="Tectonic"/>
        <s v="Prosper"/>
        <s v="AKEDO"/>
        <s v="StablR USD"/>
        <s v="Counterparty"/>
        <s v="Steem Dollars"/>
        <s v="Startup"/>
        <s v="LinqAI"/>
        <s v="Baanx"/>
        <s v="TrustSwap"/>
        <s v="Tanssi"/>
        <s v="Stride"/>
        <s v="Peercoin"/>
        <s v="Fluence"/>
        <s v="Partisia Blockchain"/>
        <s v="Pain (paintoken.com)"/>
        <s v="Sentinel"/>
        <s v="Cere Network"/>
        <s v="OVR"/>
        <s v="fanC"/>
        <s v="Velvet"/>
        <s v="Wibegram"/>
        <s v="ABBC Coin"/>
        <s v="Lion Cat"/>
        <s v="Zero1 Labs"/>
        <s v="STAT"/>
        <s v="Stonks"/>
        <s v="Epic Cash"/>
        <s v="ORBIT"/>
        <s v="Upland (SPARKLET)"/>
        <s v="Troll (troll.run)"/>
        <s v="XPIN Network"/>
        <s v="Beam"/>
        <s v="Project WITH"/>
        <s v="Mysterium"/>
        <s v="PRIZM"/>
        <s v="Frodo the virtual samurai"/>
        <s v="MSTR2100"/>
        <s v="LABEL AI"/>
        <s v="RCADE"/>
        <s v="CrossFi"/>
        <s v="Boom"/>
        <s v="Izumi Finance"/>
        <s v="Push Protocol"/>
        <s v="Patriot"/>
        <s v="Panda Swap"/>
        <s v="GAM3S.GG"/>
        <s v="Harold"/>
        <s v="Decentrawood"/>
        <s v="Lumera Health"/>
        <s v="Celsius"/>
        <s v="aixCB by Virtuals"/>
        <s v="Solchat"/>
        <s v="Baby Grok (babygrok.ai)"/>
        <s v="Alpaca Finance"/>
        <s v="Nitro"/>
        <s v="MarsDAO"/>
        <s v="Cypherium"/>
        <s v="The Nation Token"/>
        <s v="Messiah"/>
        <s v="Xaya"/>
        <s v="Shiba Predator"/>
        <s v="Expand"/>
        <s v="Plearn"/>
        <s v="HODL Coin"/>
        <s v="Neutrino Index"/>
        <s v="ADAMANT Messenger"/>
        <s v="Q Protocol"/>
        <s v="Carnomaly"/>
        <s v="Tune.FM"/>
        <s v="Etherisc DIP Token"/>
        <s v="IVPAY"/>
      </sharedItems>
    </cacheField>
    <cacheField name="Price" numFmtId="0">
      <sharedItems containsSemiMixedTypes="0" containsString="0" containsNumber="1" minValue="1E-4" maxValue="112396.23"/>
    </cacheField>
    <cacheField name="Volume (24h) USD" numFmtId="0">
      <sharedItems containsSemiMixedTypes="0" containsString="0" containsNumber="1" containsInteger="1" minValue="10" maxValue="117252093277"/>
    </cacheField>
    <cacheField name="Price Category" numFmtId="0">
      <sharedItems count="2">
        <s v="&gt; 50 $"/>
        <s v="0 to 50 $"/>
      </sharedItems>
    </cacheField>
  </cacheFields>
  <extLst>
    <ext xmlns:x14="http://schemas.microsoft.com/office/spreadsheetml/2009/9/main" uri="{725AE2AE-9491-48be-B2B4-4EB974FC3084}">
      <x14:pivotCacheDefinition pivotCacheId="16058336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7">
  <r>
    <x v="0"/>
    <x v="0"/>
    <n v="112396.23"/>
    <n v="6.7999999999999996E-3"/>
    <n v="2236591973065"/>
    <n v="61196410006"/>
    <s v="19.91M"/>
    <n v="19910000"/>
    <n v="3073.6519340030136"/>
    <n v="1"/>
    <x v="0"/>
    <n v="0.16319999999999998"/>
    <n v="1.1423999999999999"/>
    <x v="0"/>
    <n v="0.43746666666666661"/>
    <n v="112388.58757604483"/>
    <n v="112579.96049552869"/>
    <n v="111126.71836934854"/>
    <n v="7.6424239551706705"/>
  </r>
  <r>
    <x v="1"/>
    <x v="1"/>
    <n v="4631.6899999999996"/>
    <n v="4.3E-3"/>
    <n v="558774287294"/>
    <n v="43714609700"/>
    <s v="120.7M"/>
    <n v="120700000"/>
    <n v="362.17572245236124"/>
    <n v="2"/>
    <x v="1"/>
    <n v="0.1032"/>
    <n v="0.72240000000000004"/>
    <x v="0"/>
    <n v="0.27663333333333334"/>
    <n v="4631.4908458936261"/>
    <n v="4636.4748420369815"/>
    <n v="4598.4706480385694"/>
    <n v="0.19915410637349851"/>
  </r>
  <r>
    <x v="2"/>
    <x v="2"/>
    <n v="3.02"/>
    <n v="4.4999999999999997E-3"/>
    <n v="179761935139"/>
    <n v="6447508710"/>
    <s v="59.48B"/>
    <n v="59480000000"/>
    <n v="0.10839792720242099"/>
    <n v="3"/>
    <x v="2"/>
    <n v="0.10799999999999998"/>
    <n v="0.75599999999999989"/>
    <x v="1"/>
    <n v="0.28949999999999992"/>
    <n v="3.0198641061152247"/>
    <n v="3.0232651263364434"/>
    <n v="2.997340108777641"/>
    <n v="1.3589388477530662E-4"/>
  </r>
  <r>
    <x v="3"/>
    <x v="3"/>
    <n v="1"/>
    <n v="6.9999999999999999E-4"/>
    <n v="167211922205"/>
    <n v="117252093277"/>
    <s v="167.2B"/>
    <n v="167200000000"/>
    <n v="0.70126850046052636"/>
    <n v="4"/>
    <x v="3"/>
    <n v="1.6799999999999999E-2"/>
    <n v="0.1176"/>
    <x v="1"/>
    <n v="4.5033333333333335E-2"/>
    <n v="0.9999930000489996"/>
    <n v="1.0001680282287424"/>
    <n v="0.99882538135153054"/>
    <n v="6.9999510003970755E-6"/>
  </r>
  <r>
    <x v="4"/>
    <x v="4"/>
    <n v="864.91"/>
    <n v="2.3999999999999998E-3"/>
    <n v="120460279991"/>
    <n v="2278674127"/>
    <s v="139.28M"/>
    <n v="139280000"/>
    <n v="16.360382876220562"/>
    <n v="5"/>
    <x v="1"/>
    <n v="5.7599999999999998E-2"/>
    <n v="0.4032"/>
    <x v="0"/>
    <n v="0.15440000000000001"/>
    <n v="864.88924265817616"/>
    <n v="865.40847528176232"/>
    <n v="861.43668727689953"/>
    <n v="2.0757341823809838E-2"/>
  </r>
  <r>
    <x v="5"/>
    <x v="5"/>
    <n v="208.97"/>
    <n v="7.7999999999999996E-3"/>
    <n v="112989075044"/>
    <n v="10127054144"/>
    <s v="540.67M"/>
    <n v="540670000"/>
    <n v="18.730564196274994"/>
    <n v="6"/>
    <x v="1"/>
    <n v="0.18719999999999998"/>
    <n v="1.3103999999999998"/>
    <x v="0"/>
    <n v="0.50179999999999991"/>
    <n v="208.95370161127431"/>
    <n v="209.36192552458201"/>
    <n v="206.26707623304222"/>
    <n v="1.6298388725687118E-2"/>
  </r>
  <r>
    <x v="6"/>
    <x v="6"/>
    <n v="0.99970000000000003"/>
    <n v="5.9999999999999995E-4"/>
    <n v="69140705171"/>
    <n v="17027792821"/>
    <s v="69.15B"/>
    <n v="69150000000"/>
    <n v="0.24624429242227042"/>
    <n v="7"/>
    <x v="3"/>
    <n v="1.44E-2"/>
    <n v="0.1008"/>
    <x v="1"/>
    <n v="3.8600000000000002E-2"/>
    <n v="0.99969400183598911"/>
    <n v="0.99984397753276477"/>
    <n v="0.9986933171363267"/>
    <n v="5.9981640109230128E-6"/>
  </r>
  <r>
    <x v="7"/>
    <x v="7"/>
    <n v="0.22170000000000001"/>
    <n v="6.7000000000000002E-3"/>
    <n v="33418883909"/>
    <n v="1961967012"/>
    <s v="150.69B"/>
    <n v="150690000000"/>
    <n v="1.3019888592474617E-2"/>
    <n v="8"/>
    <x v="4"/>
    <n v="0.1608"/>
    <n v="1.1255999999999999"/>
    <x v="2"/>
    <n v="0.43103333333333332"/>
    <n v="0.22168514709514461"/>
    <n v="0.22205706776496609"/>
    <n v="0.21923232099488163"/>
    <n v="1.48529048553947E-5"/>
  </r>
  <r>
    <x v="8"/>
    <x v="8"/>
    <n v="0.35020000000000001"/>
    <n v="1E-3"/>
    <n v="33151724508"/>
    <n v="973139421"/>
    <s v="94.66B"/>
    <n v="94660000000"/>
    <n v="1.0280365740545109E-2"/>
    <n v="9"/>
    <x v="4"/>
    <n v="2.4E-2"/>
    <n v="0.16800000000000001"/>
    <x v="2"/>
    <n v="6.433333333333334E-2"/>
    <n v="0.35019649803501962"/>
    <n v="0.35028406817636232"/>
    <n v="0.34961265074674552"/>
    <n v="3.5019649803902375E-6"/>
  </r>
  <r>
    <x v="9"/>
    <x v="9"/>
    <n v="0.86929999999999996"/>
    <n v="3.2000000000000002E-3"/>
    <n v="31055700401"/>
    <n v="1153461846"/>
    <s v="35.72B"/>
    <n v="35720000000"/>
    <n v="3.2291765005599105E-2"/>
    <n v="10"/>
    <x v="3"/>
    <n v="7.6800000000000007E-2"/>
    <n v="0.53760000000000008"/>
    <x v="1"/>
    <n v="0.20586666666666667"/>
    <n v="0.86927218329013467"/>
    <n v="0.8699681355280855"/>
    <n v="0.86465163282194912"/>
    <n v="2.78167098652915E-5"/>
  </r>
  <r>
    <x v="10"/>
    <x v="10"/>
    <n v="0.99950000000000006"/>
    <n v="1E-4"/>
    <n v="687657857"/>
    <n v="64711407"/>
    <s v="687.95M"/>
    <n v="687950000"/>
    <n v="9.4064113671051677E-2"/>
    <n v="16"/>
    <x v="3"/>
    <n v="2.4000000000000002E-3"/>
    <n v="1.6800000000000002E-2"/>
    <x v="1"/>
    <n v="6.4333333333333334E-3"/>
    <n v="0.9994990005009996"/>
    <n v="0.99952398857572589"/>
    <n v="0.99933211220514961"/>
    <n v="9.9949900045359641E-7"/>
  </r>
  <r>
    <x v="11"/>
    <x v="11"/>
    <n v="42.45"/>
    <n v="8.0000000000000002E-3"/>
    <n v="687228061"/>
    <n v="71132312"/>
    <s v="16.18M"/>
    <n v="16180000"/>
    <n v="4.3963110012360938"/>
    <n v="17"/>
    <x v="5"/>
    <n v="0.192"/>
    <n v="1.3440000000000001"/>
    <x v="3"/>
    <n v="0.51466666666666672"/>
    <n v="42.446604271658266"/>
    <n v="42.531660788714333"/>
    <n v="41.887038206504585"/>
    <n v="3.3957283417365147E-3"/>
  </r>
  <r>
    <x v="12"/>
    <x v="12"/>
    <n v="9.1999999999999998E-3"/>
    <n v="3.0000000000000001E-3"/>
    <n v="683949558"/>
    <n v="29038108"/>
    <s v="74.48B"/>
    <n v="74480000000"/>
    <n v="3.898779269602578E-4"/>
    <n v="18"/>
    <x v="4"/>
    <n v="7.2000000000000008E-2"/>
    <n v="0.504"/>
    <x v="4"/>
    <n v="0.19299999999999998"/>
    <n v="9.1997240082797513E-3"/>
    <n v="9.2066287727163559E-3"/>
    <n v="9.1538645228050625E-3"/>
    <n v="2.7599172024855845E-7"/>
  </r>
  <r>
    <x v="13"/>
    <x v="13"/>
    <n v="0.1171"/>
    <n v="5.1999999999999998E-3"/>
    <n v="673440961"/>
    <n v="24411942"/>
    <s v="5.74B"/>
    <n v="5740000000"/>
    <n v="4.2529515679442511E-3"/>
    <n v="19"/>
    <x v="4"/>
    <n v="0.12479999999999999"/>
    <n v="0.87359999999999993"/>
    <x v="2"/>
    <n v="0.33453333333333335"/>
    <n v="0.11709391111662194"/>
    <n v="0.1172463234116177"/>
    <n v="0.11608587380642704"/>
    <n v="6.0888833780525786E-6"/>
  </r>
  <r>
    <x v="14"/>
    <x v="14"/>
    <n v="6.6699999999999995E-2"/>
    <n v="5.9999999999999995E-4"/>
    <n v="656968217"/>
    <n v="29706225"/>
    <s v="986.06T"/>
    <n v="986060000000000"/>
    <n v="3.0126184005030119E-8"/>
    <n v="20"/>
    <x v="4"/>
    <n v="1.44E-2"/>
    <n v="0.1008"/>
    <x v="2"/>
    <n v="3.8600000000000002E-2"/>
    <n v="6.6699599802401185E-2"/>
    <n v="6.6709606183290387E-2"/>
    <n v="6.6632834103223959E-2"/>
    <n v="4.0019759880993711E-7"/>
  </r>
  <r>
    <x v="15"/>
    <x v="15"/>
    <n v="0.39090000000000003"/>
    <n v="1.5E-3"/>
    <n v="626962319"/>
    <n v="21684159"/>
    <s v="1.6B"/>
    <n v="1600000000"/>
    <n v="1.3552599375E-2"/>
    <n v="22"/>
    <x v="4"/>
    <n v="3.6000000000000004E-2"/>
    <n v="0.252"/>
    <x v="2"/>
    <n v="9.6499999999999989E-2"/>
    <n v="0.39089413658795119"/>
    <n v="0.39104077467888443"/>
    <n v="0.3899174081315086"/>
    <n v="5.8634120488343378E-6"/>
  </r>
  <r>
    <x v="16"/>
    <x v="16"/>
    <n v="7.42"/>
    <n v="3.0000000000000001E-3"/>
    <n v="621864440"/>
    <n v="7491105"/>
    <s v="83.73M"/>
    <n v="83730000"/>
    <n v="8.9467395198853453E-2"/>
    <n v="23"/>
    <x v="2"/>
    <n v="7.2000000000000008E-2"/>
    <n v="0.504"/>
    <x v="3"/>
    <n v="0.19299999999999998"/>
    <n v="7.4197774066777997"/>
    <n v="7.4253462492994959"/>
    <n v="7.3827907346971271"/>
    <n v="2.2259332220020411E-4"/>
  </r>
  <r>
    <x v="17"/>
    <x v="17"/>
    <n v="0.57740000000000002"/>
    <n v="1.1000000000000001E-3"/>
    <n v="577405381"/>
    <n v="23722335"/>
    <s v="1B"/>
    <n v="1000000000"/>
    <n v="2.3722335000000001E-2"/>
    <n v="25"/>
    <x v="3"/>
    <n v="2.64E-2"/>
    <n v="0.18479999999999999"/>
    <x v="1"/>
    <n v="7.0766666666666658E-2"/>
    <n v="0.57739364866986465"/>
    <n v="0.57755247385309727"/>
    <n v="0.57633493304373518"/>
    <n v="6.3513301353790297E-6"/>
  </r>
  <r>
    <x v="18"/>
    <x v="18"/>
    <n v="0.40489999999999998"/>
    <n v="3.3E-3"/>
    <n v="572387192"/>
    <n v="19083906"/>
    <s v="1.41B"/>
    <n v="1410000000"/>
    <n v="1.3534685106382978E-2"/>
    <n v="26"/>
    <x v="4"/>
    <n v="7.9199999999999993E-2"/>
    <n v="0.5544"/>
    <x v="2"/>
    <n v="0.21230000000000002"/>
    <n v="0.40488663874092157"/>
    <n v="0.40522093498050454"/>
    <n v="0.40266761076591379"/>
    <n v="1.33612590784149E-5"/>
  </r>
  <r>
    <x v="19"/>
    <x v="19"/>
    <n v="0.28820000000000001"/>
    <n v="3.8999999999999998E-3"/>
    <n v="567782071"/>
    <n v="27296450"/>
    <s v="1.96B"/>
    <n v="1960000000"/>
    <n v="1.3926760204081633E-2"/>
    <n v="27"/>
    <x v="4"/>
    <n v="9.3599999999999989E-2"/>
    <n v="0.65519999999999989"/>
    <x v="2"/>
    <n v="0.25089999999999996"/>
    <n v="0.28818876063833515"/>
    <n v="0.28847000792742011"/>
    <n v="0.28632400511846384"/>
    <n v="1.1239361664860947E-5"/>
  </r>
  <r>
    <x v="20"/>
    <x v="20"/>
    <n v="4.54"/>
    <n v="4.0000000000000002E-4"/>
    <n v="1982420729"/>
    <n v="64466358"/>
    <s v="436.26M"/>
    <n v="436260000"/>
    <n v="0.14777049924357036"/>
    <n v="11"/>
    <x v="2"/>
    <n v="9.6000000000000009E-3"/>
    <n v="6.720000000000001E-2"/>
    <x v="1"/>
    <n v="2.5733333333333334E-2"/>
    <n v="4.5399818400726399"/>
    <n v="4.5404358818446573"/>
    <n v="4.5369511688145563"/>
    <n v="1.8159927360095196E-5"/>
  </r>
  <r>
    <x v="21"/>
    <x v="21"/>
    <n v="5.48"/>
    <n v="4.7000000000000002E-3"/>
    <n v="1955931785"/>
    <n v="26985300"/>
    <s v="356.55M"/>
    <n v="356550000"/>
    <n v="7.5684476230542697E-2"/>
    <n v="12"/>
    <x v="2"/>
    <n v="0.11280000000000001"/>
    <n v="0.78960000000000008"/>
    <x v="3"/>
    <n v="0.30236666666666673"/>
    <n v="5.4797424521047517"/>
    <n v="5.486188420538368"/>
    <n v="5.4370689039345335"/>
    <n v="2.5754789524867761E-4"/>
  </r>
  <r>
    <x v="22"/>
    <x v="22"/>
    <n v="1"/>
    <n v="2.0000000000000001E-4"/>
    <n v="1253095193"/>
    <n v="30789467"/>
    <s v="1.25B"/>
    <n v="1250000000"/>
    <n v="2.4631573600000001E-2"/>
    <n v="13"/>
    <x v="3"/>
    <n v="4.8000000000000004E-3"/>
    <n v="3.3600000000000005E-2"/>
    <x v="1"/>
    <n v="1.2866666666666667E-2"/>
    <n v="0.99999800000399997"/>
    <n v="1.0000480023041107"/>
    <n v="0.99966411285807977"/>
    <n v="1.9999960000349759E-6"/>
  </r>
  <r>
    <x v="23"/>
    <x v="23"/>
    <n v="2.4E-2"/>
    <n v="2.2000000000000001E-3"/>
    <n v="738956737"/>
    <n v="8289454"/>
    <s v="30.84B"/>
    <n v="30840000000"/>
    <n v="2.6878904020752271E-4"/>
    <n v="14"/>
    <x v="4"/>
    <n v="5.28E-2"/>
    <n v="0.36959999999999998"/>
    <x v="4"/>
    <n v="0.14153333333333332"/>
    <n v="2.3999472011615747E-2"/>
    <n v="2.4012678694350618E-2"/>
    <n v="2.3911622642712536E-2"/>
    <n v="5.2798838425308081E-7"/>
  </r>
  <r>
    <x v="24"/>
    <x v="24"/>
    <n v="1.1000000000000001"/>
    <n v="1.1000000000000001E-3"/>
    <n v="691597867"/>
    <n v="1338625"/>
    <s v="626.67M"/>
    <n v="626670000"/>
    <n v="2.1360923612108447E-3"/>
    <n v="15"/>
    <x v="6"/>
    <n v="2.64E-2"/>
    <n v="0.18479999999999999"/>
    <x v="1"/>
    <n v="7.0766666666666658E-2"/>
    <n v="1.0999879001330986"/>
    <n v="1.1002904766858452"/>
    <n v="1.0979709496849821"/>
    <n v="1.2099866901538192E-5"/>
  </r>
  <r>
    <x v="25"/>
    <x v="25"/>
    <n v="0.99829999999999997"/>
    <n v="0"/>
    <n v="642088143"/>
    <n v="4463129"/>
    <s v="643.12M"/>
    <n v="643120000"/>
    <n v="6.9398075009329515E-3"/>
    <n v="21"/>
    <x v="3"/>
    <n v="0"/>
    <n v="0"/>
    <x v="1"/>
    <n v="0"/>
    <n v="0.99829999999999997"/>
    <n v="0.99829999999999997"/>
    <n v="0.99829999999999997"/>
    <n v="0"/>
  </r>
  <r>
    <x v="26"/>
    <x v="26"/>
    <n v="0.17449999999999999"/>
    <n v="5.8999999999999999E-3"/>
    <n v="607020903"/>
    <n v="1377265"/>
    <s v="3.47B"/>
    <n v="3470000000"/>
    <n v="3.9690634005763687E-4"/>
    <n v="24"/>
    <x v="4"/>
    <n v="0.1416"/>
    <n v="0.99120000000000008"/>
    <x v="2"/>
    <n v="0.37956666666666666"/>
    <n v="0.17448970510739864"/>
    <n v="0.17474744237840781"/>
    <n v="0.1727873319655574"/>
    <n v="1.0294892601347971E-5"/>
  </r>
  <r>
    <x v="27"/>
    <x v="27"/>
    <n v="7.6300000000000007E-2"/>
    <n v="2.3E-3"/>
    <n v="545355889"/>
    <n v="4396792"/>
    <s v="7.14B"/>
    <n v="7140000000"/>
    <n v="6.1579719887955178E-4"/>
    <n v="28"/>
    <x v="4"/>
    <n v="5.5199999999999999E-2"/>
    <n v="0.38639999999999997"/>
    <x v="2"/>
    <n v="0.14796666666666666"/>
    <n v="7.6298245140361765E-2"/>
    <n v="7.6342140861755697E-2"/>
    <n v="7.6006311611931499E-2"/>
    <n v="1.7548596382421788E-6"/>
  </r>
  <r>
    <x v="28"/>
    <x v="28"/>
    <n v="0.99980000000000002"/>
    <n v="2.9999999999999997E-4"/>
    <n v="538269461"/>
    <n v="5715956"/>
    <s v="538.36M"/>
    <n v="538360000"/>
    <n v="1.0617348985808753E-2"/>
    <n v="29"/>
    <x v="3"/>
    <n v="7.1999999999999998E-3"/>
    <n v="5.04E-2"/>
    <x v="1"/>
    <n v="1.9300000000000001E-2"/>
    <n v="0.99979700060899823"/>
    <n v="0.99987199078333633"/>
    <n v="0.99929635463726274"/>
    <n v="2.9993910017900305E-6"/>
  </r>
  <r>
    <x v="29"/>
    <x v="29"/>
    <n v="1.94"/>
    <n v="1.6000000000000001E-3"/>
    <n v="503419749"/>
    <n v="325843"/>
    <s v="258.97M"/>
    <n v="258970000.00000003"/>
    <n v="1.258226821639572E-3"/>
    <n v="30"/>
    <x v="6"/>
    <n v="3.8400000000000004E-2"/>
    <n v="0.26880000000000004"/>
    <x v="1"/>
    <n v="0.10293333333333334"/>
    <n v="1.9399689604966319"/>
    <n v="1.9407452461745311"/>
    <n v="1.9347992595902215"/>
    <n v="3.1039503368024413E-5"/>
  </r>
  <r>
    <x v="30"/>
    <x v="30"/>
    <n v="7.1400000000000005E-2"/>
    <n v="4.0000000000000002E-4"/>
    <n v="136125306"/>
    <n v="6721454"/>
    <s v="1.9B"/>
    <n v="1900000000"/>
    <n v="3.5376073684210527E-3"/>
    <n v="31"/>
    <x v="4"/>
    <n v="9.6000000000000009E-3"/>
    <n v="6.720000000000001E-2"/>
    <x v="2"/>
    <n v="2.5733333333333334E-2"/>
    <n v="7.1399714401142414E-2"/>
    <n v="7.1406855058085583E-2"/>
    <n v="7.1352051421444795E-2"/>
    <n v="2.8559885759116277E-7"/>
  </r>
  <r>
    <x v="31"/>
    <x v="31"/>
    <n v="0.99950000000000006"/>
    <n v="0"/>
    <n v="132578463"/>
    <n v="343471"/>
    <s v="132.63M"/>
    <n v="132630000"/>
    <n v="2.5896931312674358E-3"/>
    <n v="32"/>
    <x v="3"/>
    <n v="0"/>
    <n v="0"/>
    <x v="1"/>
    <n v="0"/>
    <n v="0.99950000000000006"/>
    <n v="0.99950000000000006"/>
    <n v="0.99950000000000006"/>
    <n v="0"/>
  </r>
  <r>
    <x v="32"/>
    <x v="32"/>
    <n v="0.99960000000000004"/>
    <n v="2.0000000000000001E-4"/>
    <n v="131915058"/>
    <n v="1092882"/>
    <s v="131.95M"/>
    <n v="131949999.99999999"/>
    <n v="8.2825464190981433E-3"/>
    <n v="33"/>
    <x v="3"/>
    <n v="4.8000000000000004E-3"/>
    <n v="3.3600000000000005E-2"/>
    <x v="1"/>
    <n v="1.2866666666666667E-2"/>
    <n v="0.99959800080399841"/>
    <n v="0.99964798310318903"/>
    <n v="0.99926424721293661"/>
    <n v="1.9991960016341181E-6"/>
  </r>
  <r>
    <x v="33"/>
    <x v="33"/>
    <n v="0.13320000000000001"/>
    <n v="4.3E-3"/>
    <n v="131880666"/>
    <n v="2531201"/>
    <s v="989.35M"/>
    <n v="989350000"/>
    <n v="2.5584484762722999E-3"/>
    <n v="34"/>
    <x v="4"/>
    <n v="0.1032"/>
    <n v="0.72240000000000004"/>
    <x v="2"/>
    <n v="0.27663333333333334"/>
    <n v="0.13319427264627623"/>
    <n v="0.13333760440774881"/>
    <n v="0.13224466454333894"/>
    <n v="5.7273537237834127E-6"/>
  </r>
  <r>
    <x v="34"/>
    <x v="34"/>
    <n v="0.27810000000000001"/>
    <n v="1.3100000000000001E-2"/>
    <n v="129554753"/>
    <n v="7930906"/>
    <s v="465.83M"/>
    <n v="465830000"/>
    <n v="1.7025322542558445E-2"/>
    <n v="35"/>
    <x v="4"/>
    <n v="0.31440000000000001"/>
    <n v="2.2008000000000001"/>
    <x v="2"/>
    <n v="0.84276666666666677"/>
    <n v="0.27806357367184897"/>
    <n v="0.27897710401502324"/>
    <n v="0.27211137290510445"/>
    <n v="3.6426328151040188E-5"/>
  </r>
  <r>
    <x v="35"/>
    <x v="35"/>
    <n v="0.99970000000000003"/>
    <n v="1E-4"/>
    <n v="128872926"/>
    <n v="8432086"/>
    <s v="128.9M"/>
    <n v="128900000"/>
    <n v="6.5415717610550816E-2"/>
    <n v="36"/>
    <x v="3"/>
    <n v="2.4000000000000002E-3"/>
    <n v="1.6800000000000002E-2"/>
    <x v="1"/>
    <n v="6.4333333333333334E-3"/>
    <n v="0.99969900030099978"/>
    <n v="0.99972399337584106"/>
    <n v="0.99953207861079352"/>
    <n v="9.9969900024809988E-7"/>
  </r>
  <r>
    <x v="36"/>
    <x v="36"/>
    <n v="4.9599999999999998E-2"/>
    <n v="5.0000000000000001E-3"/>
    <n v="128393361"/>
    <n v="10778520"/>
    <s v="2.59B"/>
    <n v="2590000000"/>
    <n v="4.1615907335907339E-3"/>
    <n v="37"/>
    <x v="4"/>
    <n v="0.12"/>
    <n v="0.84"/>
    <x v="4"/>
    <n v="0.32166666666666666"/>
    <n v="4.9597520123993794E-2"/>
    <n v="4.9659591509811772E-2"/>
    <n v="4.918683062276874E-2"/>
    <n v="2.4798760062047509E-6"/>
  </r>
  <r>
    <x v="37"/>
    <x v="37"/>
    <n v="2.6700000000000002E-2"/>
    <n v="5.0000000000000001E-4"/>
    <n v="128203844"/>
    <n v="10487502"/>
    <s v="4.79B"/>
    <n v="4790000000"/>
    <n v="2.1894576200417537E-3"/>
    <n v="38"/>
    <x v="4"/>
    <n v="1.2E-2"/>
    <n v="8.4000000000000005E-2"/>
    <x v="4"/>
    <n v="3.216666666666667E-2"/>
    <n v="2.6699866500667496E-2"/>
    <n v="2.6703204384526145E-2"/>
    <n v="2.6677590823708089E-2"/>
    <n v="1.3349933250528245E-7"/>
  </r>
  <r>
    <x v="38"/>
    <x v="38"/>
    <n v="6.8099999999999994E-2"/>
    <n v="4.3E-3"/>
    <n v="127672149"/>
    <n v="11344790"/>
    <s v="1.87B"/>
    <n v="1870000000"/>
    <n v="6.0667326203208555E-3"/>
    <n v="39"/>
    <x v="4"/>
    <n v="0.1032"/>
    <n v="0.72240000000000004"/>
    <x v="2"/>
    <n v="0.27663333333333334"/>
    <n v="6.8097071825911473E-2"/>
    <n v="6.8170351803060761E-2"/>
    <n v="6.7611573989499851E-2"/>
    <n v="2.9281740885206409E-6"/>
  </r>
  <r>
    <x v="39"/>
    <x v="39"/>
    <n v="4.24"/>
    <n v="1.9E-3"/>
    <n v="127660598"/>
    <n v="9341488"/>
    <s v="30.08M"/>
    <n v="30080000"/>
    <n v="0.31055478723404256"/>
    <n v="40"/>
    <x v="2"/>
    <n v="4.5600000000000002E-2"/>
    <n v="0.31920000000000004"/>
    <x v="1"/>
    <n v="0.12223333333333335"/>
    <n v="4.2399194415306107"/>
    <n v="4.2419343220508559"/>
    <n v="4.2265089833252256"/>
    <n v="8.0558469389480081E-5"/>
  </r>
  <r>
    <x v="40"/>
    <x v="40"/>
    <n v="0.43259999999999998"/>
    <n v="1.32E-2"/>
    <n v="87828987"/>
    <n v="9141404"/>
    <s v="203.02M"/>
    <n v="203020000"/>
    <n v="4.5027110629494632E-2"/>
    <n v="41"/>
    <x v="4"/>
    <n v="0.31679999999999997"/>
    <n v="2.2176"/>
    <x v="2"/>
    <n v="0.84920000000000007"/>
    <n v="0.43254290433662756"/>
    <n v="0.43397483226862699"/>
    <n v="0.42321478884262592"/>
    <n v="5.7095663372419558E-5"/>
  </r>
  <r>
    <x v="41"/>
    <x v="41"/>
    <n v="1.62"/>
    <n v="1E-3"/>
    <n v="87776158"/>
    <n v="9108166"/>
    <s v="54.05M"/>
    <n v="54050000"/>
    <n v="0.16851370952821462"/>
    <n v="42"/>
    <x v="6"/>
    <n v="2.4E-2"/>
    <n v="0.16800000000000001"/>
    <x v="1"/>
    <n v="6.433333333333334E-2"/>
    <n v="1.6199838001619984"/>
    <n v="1.6203888933344004"/>
    <n v="1.6172829646194395"/>
    <n v="1.6199838001718092E-5"/>
  </r>
  <r>
    <x v="42"/>
    <x v="42"/>
    <n v="0.69950000000000001"/>
    <n v="0"/>
    <n v="86786092"/>
    <n v="24699"/>
    <s v="124.06M"/>
    <n v="124060000"/>
    <n v="1.9908915041109141E-4"/>
    <n v="43"/>
    <x v="3"/>
    <n v="0"/>
    <n v="0"/>
    <x v="1"/>
    <n v="0"/>
    <n v="0.69950000000000001"/>
    <n v="0.69950000000000001"/>
    <n v="0.69950000000000001"/>
    <n v="0"/>
  </r>
  <r>
    <x v="43"/>
    <x v="43"/>
    <n v="2.88"/>
    <n v="1.2999999999999999E-3"/>
    <n v="86613592"/>
    <n v="295825"/>
    <s v="30M"/>
    <n v="30000000"/>
    <n v="9.8608333333333326E-3"/>
    <n v="44"/>
    <x v="2"/>
    <n v="3.1199999999999999E-2"/>
    <n v="0.21839999999999998"/>
    <x v="1"/>
    <n v="8.3633333333333337E-2"/>
    <n v="2.8799625604867134"/>
    <n v="2.8808988404382165"/>
    <n v="2.873723787248649"/>
    <n v="3.7439513286496862E-5"/>
  </r>
  <r>
    <x v="44"/>
    <x v="44"/>
    <n v="8.6499999999999994E-2"/>
    <n v="2.0000000000000001E-4"/>
    <n v="86345798"/>
    <n v="4522686"/>
    <s v="998.46M"/>
    <n v="998460000"/>
    <n v="4.5296616789856376E-3"/>
    <n v="46"/>
    <x v="4"/>
    <n v="4.8000000000000004E-3"/>
    <n v="3.3600000000000005E-2"/>
    <x v="2"/>
    <n v="1.2866666666666667E-2"/>
    <n v="8.6499827000345988E-2"/>
    <n v="8.6504152199305559E-2"/>
    <n v="8.6470945762223902E-2"/>
    <n v="1.7299965400507933E-7"/>
  </r>
  <r>
    <x v="45"/>
    <x v="45"/>
    <n v="6.4000000000000001E-2"/>
    <n v="1.9E-3"/>
    <n v="86441423"/>
    <n v="6787116"/>
    <s v="1.35B"/>
    <n v="1350000000"/>
    <n v="5.0274933333333332E-3"/>
    <n v="45"/>
    <x v="4"/>
    <n v="4.5600000000000002E-2"/>
    <n v="0.31920000000000004"/>
    <x v="2"/>
    <n v="0.12223333333333335"/>
    <n v="6.3998784023103564E-2"/>
    <n v="6.4029197313975175E-2"/>
    <n v="6.379636201245624E-2"/>
    <n v="1.2159768964375983E-6"/>
  </r>
  <r>
    <x v="46"/>
    <x v="46"/>
    <n v="0.45040000000000002"/>
    <n v="5.1999999999999998E-3"/>
    <n v="85996731"/>
    <n v="4342188"/>
    <s v="190.9M"/>
    <n v="190900000"/>
    <n v="2.2745877422734415E-2"/>
    <n v="47"/>
    <x v="4"/>
    <n v="0.12479999999999999"/>
    <n v="0.87359999999999993"/>
    <x v="2"/>
    <n v="0.33453333333333335"/>
    <n v="0.45037658041781831"/>
    <n v="0.45096280157636737"/>
    <n v="0.44649938140405415"/>
    <n v="2.3419582181716248E-5"/>
  </r>
  <r>
    <x v="47"/>
    <x v="47"/>
    <n v="8.5699999999999998E-2"/>
    <n v="8.8000000000000005E-3"/>
    <n v="85680579"/>
    <n v="14947172"/>
    <s v="999.99M"/>
    <n v="999990000"/>
    <n v="1.4947321473214733E-2"/>
    <n v="48"/>
    <x v="4"/>
    <n v="0.2112"/>
    <n v="1.4783999999999999"/>
    <x v="2"/>
    <n v="0.56613333333333327"/>
    <n v="8.56924590636024E-2"/>
    <n v="8.588138147768086E-2"/>
    <n v="8.4451469475277499E-2"/>
    <n v="7.5409363975986743E-6"/>
  </r>
  <r>
    <x v="48"/>
    <x v="48"/>
    <n v="8.5400000000000004E-2"/>
    <n v="3.8E-3"/>
    <n v="85436011"/>
    <n v="10238715"/>
    <s v="999.96M"/>
    <n v="999960000"/>
    <n v="1.0239124564982599E-2"/>
    <n v="49"/>
    <x v="4"/>
    <n v="9.1200000000000003E-2"/>
    <n v="0.63840000000000008"/>
    <x v="2"/>
    <n v="0.24446666666666669"/>
    <n v="8.5396754923312918E-2"/>
    <n v="8.5477955895776961E-2"/>
    <n v="8.4858264837278818E-2"/>
    <n v="3.2450766870861791E-6"/>
  </r>
  <r>
    <x v="49"/>
    <x v="49"/>
    <n v="3.1399999999999997E-2"/>
    <n v="7.7000000000000002E-3"/>
    <n v="62836837"/>
    <n v="13787251"/>
    <s v="2B"/>
    <n v="2000000000"/>
    <n v="6.8936255000000002E-3"/>
    <n v="50"/>
    <x v="4"/>
    <n v="0.18480000000000002"/>
    <n v="1.2936000000000001"/>
    <x v="4"/>
    <n v="0.49536666666666673"/>
    <n v="3.139758238615626E-2"/>
    <n v="3.1458134632801414E-2"/>
    <n v="3.0998996975129717E-2"/>
    <n v="2.4176138437373429E-6"/>
  </r>
  <r>
    <x v="50"/>
    <x v="50"/>
    <n v="0.72919999999999996"/>
    <n v="8.9999999999999998E-4"/>
    <n v="62825935"/>
    <n v="1249114"/>
    <s v="86.14M"/>
    <n v="86140000"/>
    <n v="1.4500975156721616E-2"/>
    <n v="51"/>
    <x v="3"/>
    <n v="2.1600000000000001E-2"/>
    <n v="0.1512"/>
    <x v="1"/>
    <n v="5.79E-2"/>
    <n v="0.72919343725906471"/>
    <n v="0.72935754122890539"/>
    <n v="0.72809911413942119"/>
    <n v="6.562740935245337E-6"/>
  </r>
  <r>
    <x v="51"/>
    <x v="51"/>
    <n v="8.0000000000000002E-3"/>
    <n v="5.1999999999999998E-3"/>
    <n v="62746080"/>
    <n v="5327551"/>
    <s v="7.8B"/>
    <n v="7800000000"/>
    <n v="6.8301935897435901E-4"/>
    <n v="52"/>
    <x v="4"/>
    <n v="0.12479999999999999"/>
    <n v="0.87359999999999993"/>
    <x v="4"/>
    <n v="0.33453333333333335"/>
    <n v="7.9995840216308765E-3"/>
    <n v="8.0099964756015513E-3"/>
    <n v="7.9307172540684576E-3"/>
    <n v="4.1597836912370123E-7"/>
  </r>
  <r>
    <x v="52"/>
    <x v="52"/>
    <n v="7.9799999999999996E-2"/>
    <n v="6.9999999999999999E-4"/>
    <n v="62547790"/>
    <n v="9047350"/>
    <s v="783.57M"/>
    <n v="783570000"/>
    <n v="1.1546320047985502E-2"/>
    <n v="53"/>
    <x v="4"/>
    <n v="1.6799999999999999E-2"/>
    <n v="0.1176"/>
    <x v="2"/>
    <n v="4.5033333333333335E-2"/>
    <n v="7.9799441403910168E-2"/>
    <n v="7.9813408652653642E-2"/>
    <n v="7.9706265431852136E-2"/>
    <n v="5.5859608982800069E-7"/>
  </r>
  <r>
    <x v="53"/>
    <x v="53"/>
    <n v="2.8999999999999998E-3"/>
    <n v="8.0000000000000004E-4"/>
    <n v="62328087"/>
    <n v="2058149"/>
    <s v="21.29B"/>
    <n v="21290000000"/>
    <n v="9.6672099577266326E-5"/>
    <n v="54"/>
    <x v="4"/>
    <n v="1.9200000000000002E-2"/>
    <n v="0.13440000000000002"/>
    <x v="4"/>
    <n v="5.1466666666666668E-2"/>
    <n v="2.8999768001855982E-3"/>
    <n v="2.9005569069261296E-3"/>
    <n v="2.8961076313434742E-3"/>
    <n v="2.3199814401606705E-8"/>
  </r>
  <r>
    <x v="54"/>
    <x v="54"/>
    <n v="11.79"/>
    <n v="2.3999999999999998E-3"/>
    <n v="62064898"/>
    <n v="76515"/>
    <s v="5.26M"/>
    <n v="5260000"/>
    <n v="1.4546577946768061E-2"/>
    <n v="55"/>
    <x v="5"/>
    <n v="5.7599999999999998E-2"/>
    <n v="0.4032"/>
    <x v="3"/>
    <n v="0.15440000000000001"/>
    <n v="11.789717046790877"/>
    <n v="11.796794953893443"/>
    <n v="11.742653620601732"/>
    <n v="2.8295320912263833E-4"/>
  </r>
  <r>
    <x v="55"/>
    <x v="55"/>
    <n v="0.18160000000000001"/>
    <n v="2.0999999999999999E-3"/>
    <n v="61786840"/>
    <n v="8267657"/>
    <s v="340.13M"/>
    <n v="340130000"/>
    <n v="2.4307344250727662E-2"/>
    <n v="56"/>
    <x v="4"/>
    <n v="5.04E-2"/>
    <n v="0.3528"/>
    <x v="2"/>
    <n v="0.1351"/>
    <n v="0.18159618648008391"/>
    <n v="0.18169157255256649"/>
    <n v="0.1809615675895441"/>
    <n v="3.8135199161015709E-6"/>
  </r>
  <r>
    <x v="56"/>
    <x v="56"/>
    <n v="10.119999999999999"/>
    <n v="2.0999999999999999E-3"/>
    <n v="61648001"/>
    <n v="27805860"/>
    <s v="6.09M"/>
    <n v="6090000"/>
    <n v="4.5658226600985223"/>
    <n v="57"/>
    <x v="5"/>
    <n v="5.04E-2"/>
    <n v="0.3528"/>
    <x v="3"/>
    <n v="0.1351"/>
    <n v="10.119787484462824"/>
    <n v="10.125103051938176"/>
    <n v="10.084422158624372"/>
    <n v="2.1251553717505089E-4"/>
  </r>
  <r>
    <x v="57"/>
    <x v="57"/>
    <n v="5.1999999999999998E-3"/>
    <n v="1.4E-3"/>
    <n v="61619476"/>
    <n v="213098"/>
    <s v="11.82B"/>
    <n v="11820000000"/>
    <n v="1.8028595600676818E-5"/>
    <n v="58"/>
    <x v="4"/>
    <n v="3.3599999999999998E-2"/>
    <n v="0.23519999999999999"/>
    <x v="4"/>
    <n v="9.006666666666667E-2"/>
    <n v="5.1999272010191857E-3"/>
    <n v="5.2017477872565183E-3"/>
    <n v="5.1877982984021584E-3"/>
    <n v="7.2798980814067771E-8"/>
  </r>
  <r>
    <x v="58"/>
    <x v="58"/>
    <n v="2.17"/>
    <n v="3.0999999999999999E-3"/>
    <n v="61481343"/>
    <n v="2564140"/>
    <s v="28.3M"/>
    <n v="28300000"/>
    <n v="9.0605653710247355E-2"/>
    <n v="59"/>
    <x v="2"/>
    <n v="7.4399999999999994E-2"/>
    <n v="0.52079999999999993"/>
    <x v="1"/>
    <n v="0.19943333333333332"/>
    <n v="2.1699327320853055"/>
    <n v="2.1716156820674581"/>
    <n v="2.1587571925412448"/>
    <n v="6.72679146944688E-5"/>
  </r>
  <r>
    <x v="59"/>
    <x v="59"/>
    <n v="0.67269999999999996"/>
    <n v="1.2999999999999999E-2"/>
    <n v="45704968"/>
    <n v="35491"/>
    <s v="67.93M"/>
    <n v="67930000"/>
    <n v="5.224643014868247E-4"/>
    <n v="60"/>
    <x v="3"/>
    <n v="0.312"/>
    <n v="2.1840000000000002"/>
    <x v="1"/>
    <n v="0.83633333333333348"/>
    <n v="0.67261256036715222"/>
    <n v="0.67480539282561591"/>
    <n v="0.65832224222970315"/>
    <n v="8.7439632847741144E-5"/>
  </r>
  <r>
    <x v="60"/>
    <x v="60"/>
    <n v="7.4000000000000003E-3"/>
    <n v="0"/>
    <n v="45421680"/>
    <n v="758766"/>
    <s v="6.17B"/>
    <n v="6170000000"/>
    <n v="1.2297666126418152E-4"/>
    <n v="61"/>
    <x v="4"/>
    <n v="0"/>
    <n v="0"/>
    <x v="4"/>
    <n v="0"/>
    <n v="7.4000000000000003E-3"/>
    <n v="7.4000000000000003E-3"/>
    <n v="7.4000000000000003E-3"/>
    <n v="0"/>
  </r>
  <r>
    <x v="61"/>
    <x v="61"/>
    <n v="2.3599999999999999E-2"/>
    <n v="1.6000000000000001E-3"/>
    <n v="45403740"/>
    <n v="10853972"/>
    <s v="1.92B"/>
    <n v="1920000000"/>
    <n v="5.6531104166666667E-3"/>
    <n v="62"/>
    <x v="4"/>
    <n v="3.8400000000000004E-2"/>
    <n v="0.26880000000000004"/>
    <x v="4"/>
    <n v="0.10293333333333334"/>
    <n v="2.3599622406041503E-2"/>
    <n v="2.3609065881298418E-2"/>
    <n v="2.3536733260994445E-2"/>
    <n v="3.7759395849629174E-7"/>
  </r>
  <r>
    <x v="62"/>
    <x v="62"/>
    <n v="6.7400000000000002E-2"/>
    <n v="1.1900000000000001E-2"/>
    <n v="45353098"/>
    <n v="19016000"/>
    <s v="672.7M"/>
    <n v="672700000"/>
    <n v="2.8268173034041919E-2"/>
    <n v="63"/>
    <x v="4"/>
    <n v="0.28560000000000002"/>
    <n v="1.9992000000000001"/>
    <x v="2"/>
    <n v="0.76556666666666662"/>
    <n v="6.7391980354337841E-2"/>
    <n v="6.7593045738629523E-2"/>
    <n v="6.6078949638820703E-2"/>
    <n v="8.0196456621606238E-6"/>
  </r>
  <r>
    <x v="63"/>
    <x v="63"/>
    <n v="0.2525"/>
    <n v="2.3999999999999998E-3"/>
    <n v="45266206"/>
    <n v="339268"/>
    <s v="179.2M"/>
    <n v="179200000"/>
    <n v="1.8932366071428572E-3"/>
    <n v="64"/>
    <x v="4"/>
    <n v="5.7599999999999998E-2"/>
    <n v="0.4032"/>
    <x v="2"/>
    <n v="0.15440000000000001"/>
    <n v="0.25249394014543652"/>
    <n v="0.25264552382172134"/>
    <n v="0.25148600841407442"/>
    <n v="6.0598545634782397E-6"/>
  </r>
  <r>
    <x v="64"/>
    <x v="64"/>
    <n v="1.24E-2"/>
    <n v="5.8999999999999999E-3"/>
    <n v="45071702"/>
    <n v="10189722"/>
    <s v="3.64B"/>
    <n v="3640000000"/>
    <n v="2.7993741758241758E-3"/>
    <n v="65"/>
    <x v="4"/>
    <n v="0.1416"/>
    <n v="0.99120000000000008"/>
    <x v="4"/>
    <n v="0.37956666666666666"/>
    <n v="1.2399268443161852E-2"/>
    <n v="1.2417583297949897E-2"/>
    <n v="1.2278297515031013E-2"/>
    <n v="7.3155683814711547E-7"/>
  </r>
  <r>
    <x v="65"/>
    <x v="65"/>
    <n v="0.42049999999999998"/>
    <n v="4.4999999999999997E-3"/>
    <n v="45027836"/>
    <n v="401821"/>
    <s v="107.05M"/>
    <n v="107050000"/>
    <n v="3.7535824381130312E-3"/>
    <n v="66"/>
    <x v="4"/>
    <n v="0.10799999999999998"/>
    <n v="0.75599999999999989"/>
    <x v="2"/>
    <n v="0.28949999999999992"/>
    <n v="0.42048107835147414"/>
    <n v="0.42095463100148156"/>
    <n v="0.41734487276191984"/>
    <n v="1.8921648525849211E-5"/>
  </r>
  <r>
    <x v="66"/>
    <x v="66"/>
    <n v="1.01"/>
    <n v="4.0000000000000001E-3"/>
    <n v="44872405"/>
    <n v="10068683"/>
    <s v="44.05M"/>
    <n v="44050000"/>
    <n v="0.22857396140749148"/>
    <n v="67"/>
    <x v="6"/>
    <n v="9.6000000000000002E-2"/>
    <n v="0.67200000000000004"/>
    <x v="1"/>
    <n v="0.25733333333333336"/>
    <n v="1.0099596016159353"/>
    <n v="1.010970531710442"/>
    <n v="1.0032581055308327"/>
    <n v="4.0398384064666004E-5"/>
  </r>
  <r>
    <x v="67"/>
    <x v="67"/>
    <n v="0.249"/>
    <n v="3.0999999999999999E-3"/>
    <n v="44330157"/>
    <n v="68082352"/>
    <s v="177.96M"/>
    <n v="177960000"/>
    <n v="0.38257109462800631"/>
    <n v="68"/>
    <x v="4"/>
    <n v="7.4399999999999994E-2"/>
    <n v="0.52079999999999993"/>
    <x v="2"/>
    <n v="0.19943333333333332"/>
    <n v="0.2489922812392816"/>
    <n v="0.2491853939330862"/>
    <n v="0.24770992670173733"/>
    <n v="7.7187607183948348E-6"/>
  </r>
  <r>
    <x v="68"/>
    <x v="68"/>
    <n v="0.1618"/>
    <n v="2.9999999999999997E-4"/>
    <n v="35354744"/>
    <n v="121069"/>
    <s v="218.43M"/>
    <n v="218430000"/>
    <n v="5.5426910222954723E-4"/>
    <n v="69"/>
    <x v="4"/>
    <n v="7.1999999999999998E-3"/>
    <n v="5.04E-2"/>
    <x v="2"/>
    <n v="1.9300000000000001E-2"/>
    <n v="0.1617995146014562"/>
    <n v="0.16181165043883158"/>
    <n v="0.16171849387908493"/>
    <n v="4.8539854380358349E-7"/>
  </r>
  <r>
    <x v="69"/>
    <x v="69"/>
    <n v="0.1431"/>
    <n v="7.9000000000000008E-3"/>
    <n v="35264904"/>
    <n v="7857060"/>
    <s v="246.36M"/>
    <n v="246360000"/>
    <n v="3.1892596200681932E-2"/>
    <n v="70"/>
    <x v="4"/>
    <n v="0.18960000000000002"/>
    <n v="1.3272000000000002"/>
    <x v="2"/>
    <n v="0.50823333333333343"/>
    <n v="0.14308869599301657"/>
    <n v="0.14337183299535922"/>
    <n v="0.14122565313163693"/>
    <n v="1.1304006983431369E-5"/>
  </r>
  <r>
    <x v="70"/>
    <x v="70"/>
    <n v="2.0500000000000001E-2"/>
    <n v="1.1999999999999999E-3"/>
    <n v="35141644"/>
    <n v="129282"/>
    <s v="1.71B"/>
    <n v="1710000000"/>
    <n v="7.560350877192982E-5"/>
    <n v="71"/>
    <x v="4"/>
    <n v="2.8799999999999999E-2"/>
    <n v="0.2016"/>
    <x v="4"/>
    <n v="7.7200000000000005E-2"/>
    <n v="2.0499754002951967E-2"/>
    <n v="2.0505905700841841E-2"/>
    <n v="2.0458755149618368E-2"/>
    <n v="2.4599704803382472E-7"/>
  </r>
  <r>
    <x v="71"/>
    <x v="71"/>
    <n v="3.0099999999999998E-2"/>
    <n v="2.5000000000000001E-3"/>
    <n v="35138416"/>
    <n v="5538677"/>
    <s v="1.16B"/>
    <n v="1160000000"/>
    <n v="4.7747215517241377E-3"/>
    <n v="72"/>
    <x v="4"/>
    <n v="0.06"/>
    <n v="0.42"/>
    <x v="4"/>
    <n v="0.16083333333333333"/>
    <n v="3.0099247518812031E-2"/>
    <n v="3.0118070842505503E-2"/>
    <n v="2.997410874327823E-2"/>
    <n v="7.5248118796764074E-7"/>
  </r>
  <r>
    <x v="72"/>
    <x v="72"/>
    <n v="0.89870000000000005"/>
    <n v="8.9999999999999993E-3"/>
    <n v="35080411"/>
    <n v="9778739"/>
    <s v="39.03M"/>
    <n v="39030000"/>
    <n v="0.25054417115039712"/>
    <n v="73"/>
    <x v="3"/>
    <n v="0.21599999999999997"/>
    <n v="1.5119999999999998"/>
    <x v="1"/>
    <n v="0.57899999999999985"/>
    <n v="0.89861912427881507"/>
    <n v="0.90064539405115063"/>
    <n v="0.88531405154070453"/>
    <n v="8.0875721184980875E-5"/>
  </r>
  <r>
    <x v="73"/>
    <x v="73"/>
    <n v="0.1125"/>
    <n v="6.6E-3"/>
    <n v="35034139"/>
    <n v="50371789"/>
    <s v="311.3M"/>
    <n v="311300000"/>
    <n v="0.16181107934468358"/>
    <n v="74"/>
    <x v="4"/>
    <n v="0.15839999999999999"/>
    <n v="1.1088"/>
    <x v="2"/>
    <n v="0.42460000000000003"/>
    <n v="0.11249257549001768"/>
    <n v="0.11267848271662313"/>
    <n v="0.11126627949298182"/>
    <n v="7.4245099823261329E-6"/>
  </r>
  <r>
    <x v="74"/>
    <x v="74"/>
    <n v="6.1000000000000004E-3"/>
    <n v="1.4E-3"/>
    <n v="34972612"/>
    <n v="1391859"/>
    <s v="5.73B"/>
    <n v="5730000000"/>
    <n v="2.4290732984293194E-4"/>
    <n v="75"/>
    <x v="4"/>
    <n v="3.3599999999999998E-2"/>
    <n v="0.23519999999999999"/>
    <x v="4"/>
    <n v="9.006666666666667E-2"/>
    <n v="6.0999146011955843E-3"/>
    <n v="6.1020502888970698E-3"/>
    <n v="6.085686465433302E-3"/>
    <n v="8.5398804416068896E-8"/>
  </r>
  <r>
    <x v="75"/>
    <x v="75"/>
    <n v="1.23"/>
    <n v="2.0000000000000001E-4"/>
    <n v="34798359"/>
    <n v="75600"/>
    <s v="28.27M"/>
    <n v="28270000"/>
    <n v="2.6742129465864876E-3"/>
    <n v="76"/>
    <x v="6"/>
    <n v="4.8000000000000004E-3"/>
    <n v="3.3600000000000005E-2"/>
    <x v="1"/>
    <n v="1.2866666666666667E-2"/>
    <n v="1.2299975400049199"/>
    <n v="1.2300590428340561"/>
    <n v="1.2295868588154382"/>
    <n v="2.4599950800840986E-6"/>
  </r>
  <r>
    <x v="76"/>
    <x v="76"/>
    <n v="2.2800000000000001E-2"/>
    <n v="1.9E-3"/>
    <n v="34575104"/>
    <n v="18844509"/>
    <s v="1.51B"/>
    <n v="1510000000"/>
    <n v="1.2479807284768211E-2"/>
    <n v="77"/>
    <x v="4"/>
    <n v="4.5600000000000002E-2"/>
    <n v="0.31920000000000004"/>
    <x v="4"/>
    <n v="0.12223333333333335"/>
    <n v="2.2799566808230646E-2"/>
    <n v="2.2810401543103657E-2"/>
    <n v="2.2727453966937535E-2"/>
    <n v="4.331917693549403E-7"/>
  </r>
  <r>
    <x v="77"/>
    <x v="77"/>
    <n v="3.6900000000000002E-2"/>
    <n v="7.1999999999999998E-3"/>
    <n v="34508739"/>
    <n v="8324722"/>
    <s v="935.81M"/>
    <n v="935810000"/>
    <n v="8.8957395197743136E-3"/>
    <n v="78"/>
    <x v="4"/>
    <n v="0.17280000000000001"/>
    <n v="1.2096"/>
    <x v="4"/>
    <n v="0.4632"/>
    <n v="3.689734339127583E-2"/>
    <n v="3.6963873573535068E-2"/>
    <n v="3.6458992032376375E-2"/>
    <n v="2.6566087241719494E-6"/>
  </r>
  <r>
    <x v="78"/>
    <x v="78"/>
    <n v="3.1899999999999998E-2"/>
    <n v="2.1600000000000001E-2"/>
    <n v="26070319"/>
    <n v="467706"/>
    <s v="818.17M"/>
    <n v="818170000"/>
    <n v="5.7164892381778845E-4"/>
    <n v="79"/>
    <x v="4"/>
    <n v="0.51839999999999997"/>
    <n v="3.6288"/>
    <x v="4"/>
    <n v="1.3895999999999999"/>
    <n v="3.1893111088004987E-2"/>
    <n v="3.2066231343283576E-2"/>
    <n v="3.0782948369565213E-2"/>
    <n v="6.8889119950107935E-6"/>
  </r>
  <r>
    <x v="79"/>
    <x v="79"/>
    <n v="3.8999999999999998E-3"/>
    <n v="1.5900000000000001E-2"/>
    <n v="26014561"/>
    <n v="6727701"/>
    <s v="6.67B"/>
    <n v="6670000000"/>
    <n v="1.0086508245877061E-3"/>
    <n v="80"/>
    <x v="4"/>
    <n v="0.38160000000000005"/>
    <n v="2.6712000000000002"/>
    <x v="4"/>
    <n v="1.0229000000000001"/>
    <n v="3.8993799985802256E-3"/>
    <n v="3.9149394087839191E-3"/>
    <n v="3.7985335712449057E-3"/>
    <n v="6.2000141977424164E-7"/>
  </r>
  <r>
    <x v="80"/>
    <x v="80"/>
    <n v="0.62219999999999998"/>
    <n v="6.7000000000000002E-3"/>
    <n v="25922954"/>
    <n v="9982050"/>
    <s v="41.65M"/>
    <n v="41650000"/>
    <n v="0.23966506602641058"/>
    <n v="81"/>
    <x v="3"/>
    <n v="0.1608"/>
    <n v="1.1255999999999999"/>
    <x v="1"/>
    <n v="0.43103333333333332"/>
    <n v="0.62215831539286859"/>
    <n v="0.62320210899125794"/>
    <n v="0.61527447055938356"/>
    <n v="4.1684607131386997E-5"/>
  </r>
  <r>
    <x v="81"/>
    <x v="81"/>
    <n v="7.6200000000000004E-2"/>
    <n v="3.7000000000000002E-3"/>
    <n v="25873467"/>
    <n v="11510400"/>
    <s v="420.69T"/>
    <n v="420690000000000"/>
    <n v="2.736076445838979E-8"/>
    <n v="82"/>
    <x v="4"/>
    <n v="8.8800000000000004E-2"/>
    <n v="0.62160000000000004"/>
    <x v="2"/>
    <n v="0.23803333333333335"/>
    <n v="7.6197180704313944E-2"/>
    <n v="7.6267725740457537E-2"/>
    <n v="7.5729266877092E-2"/>
    <n v="2.8192956860600971E-6"/>
  </r>
  <r>
    <x v="82"/>
    <x v="82"/>
    <n v="2.1100000000000001E-2"/>
    <n v="5.0000000000000001E-3"/>
    <n v="25788064"/>
    <n v="1225263"/>
    <s v="1.22B"/>
    <n v="1220000000"/>
    <n v="1.0043139344262295E-3"/>
    <n v="83"/>
    <x v="4"/>
    <n v="0.12"/>
    <n v="0.84"/>
    <x v="4"/>
    <n v="0.32166666666666666"/>
    <n v="2.1098945052747359E-2"/>
    <n v="2.1125350420504604E-2"/>
    <n v="2.0924236414121382E-2"/>
    <n v="1.0549472526412418E-6"/>
  </r>
  <r>
    <x v="83"/>
    <x v="83"/>
    <n v="2.58E-2"/>
    <n v="1.09E-2"/>
    <n v="25759341"/>
    <n v="2642277"/>
    <s v="1B"/>
    <n v="1000000000"/>
    <n v="2.6422770000000002E-3"/>
    <n v="84"/>
    <x v="4"/>
    <n v="0.2616"/>
    <n v="1.8311999999999999"/>
    <x v="4"/>
    <n v="0.70123333333333326"/>
    <n v="2.5797188106496394E-2"/>
    <n v="2.5867669824260264E-2"/>
    <n v="2.5336046319791968E-2"/>
    <n v="2.8118935036063053E-6"/>
  </r>
  <r>
    <x v="84"/>
    <x v="84"/>
    <n v="0.1085"/>
    <n v="0"/>
    <n v="25730460"/>
    <n v="64349"/>
    <s v="236.99M"/>
    <n v="236990000"/>
    <n v="2.715262247352209E-4"/>
    <n v="85"/>
    <x v="4"/>
    <n v="0"/>
    <n v="0"/>
    <x v="2"/>
    <n v="0"/>
    <n v="0.1085"/>
    <n v="0.1085"/>
    <n v="0.1085"/>
    <n v="0"/>
  </r>
  <r>
    <x v="85"/>
    <x v="85"/>
    <n v="9.5600000000000004E-2"/>
    <n v="9.1999999999999998E-3"/>
    <n v="25696932"/>
    <n v="1704625"/>
    <s v="268.88M"/>
    <n v="268880000"/>
    <n v="6.3397240404641474E-3"/>
    <n v="86"/>
    <x v="4"/>
    <n v="0.2208"/>
    <n v="1.5455999999999999"/>
    <x v="2"/>
    <n v="0.59186666666666665"/>
    <n v="9.5591205609083976E-2"/>
    <n v="9.5811551906609796E-2"/>
    <n v="9.4144896480005055E-2"/>
    <n v="8.794390916028183E-6"/>
  </r>
  <r>
    <x v="86"/>
    <x v="86"/>
    <n v="2.5499999999999998E-2"/>
    <n v="5.9999999999999995E-4"/>
    <n v="25507544"/>
    <n v="5524554"/>
    <s v="999.97M"/>
    <n v="999970000"/>
    <n v="5.5247197415922477E-3"/>
    <n v="87"/>
    <x v="4"/>
    <n v="1.44E-2"/>
    <n v="0.1008"/>
    <x v="4"/>
    <n v="3.8600000000000002E-2"/>
    <n v="2.5499847000917994E-2"/>
    <n v="2.5503672528844154E-2"/>
    <n v="2.5474321883541391E-2"/>
    <n v="1.5299908200441803E-7"/>
  </r>
  <r>
    <x v="87"/>
    <x v="87"/>
    <n v="0.85289999999999999"/>
    <n v="1.2999999999999999E-3"/>
    <n v="25471481"/>
    <n v="43405"/>
    <s v="29.86M"/>
    <n v="29860000"/>
    <n v="1.4536168787675819E-3"/>
    <n v="88"/>
    <x v="3"/>
    <n v="3.1199999999999999E-2"/>
    <n v="0.21839999999999998"/>
    <x v="1"/>
    <n v="8.3633333333333337E-2"/>
    <n v="0.85288891244413823"/>
    <n v="0.85316618785060938"/>
    <n v="0.85104132574457392"/>
    <n v="1.1087555861766241E-5"/>
  </r>
  <r>
    <x v="88"/>
    <x v="88"/>
    <n v="0.99880000000000002"/>
    <n v="2.9999999999999997E-4"/>
    <n v="18990853"/>
    <n v="228239"/>
    <s v="19.01M"/>
    <n v="19010000"/>
    <n v="1.2006259863229878E-2"/>
    <n v="89"/>
    <x v="3"/>
    <n v="7.1999999999999998E-3"/>
    <n v="5.04E-2"/>
    <x v="1"/>
    <n v="1.9300000000000001E-2"/>
    <n v="0.99879700360898926"/>
    <n v="0.99887191877815196"/>
    <n v="0.99829685838337479"/>
    <n v="2.9963910107566605E-6"/>
  </r>
  <r>
    <x v="89"/>
    <x v="89"/>
    <n v="3.7900000000000003E-2"/>
    <n v="0"/>
    <n v="18961083"/>
    <n v="706323"/>
    <s v="500M"/>
    <n v="500000000"/>
    <n v="1.412646E-3"/>
    <n v="90"/>
    <x v="4"/>
    <n v="0"/>
    <n v="0"/>
    <x v="4"/>
    <n v="0"/>
    <n v="3.7900000000000003E-2"/>
    <n v="3.7900000000000003E-2"/>
    <n v="3.7900000000000003E-2"/>
    <n v="0"/>
  </r>
  <r>
    <x v="90"/>
    <x v="90"/>
    <n v="0.02"/>
    <n v="2.9999999999999997E-4"/>
    <n v="18957669"/>
    <n v="357326"/>
    <s v="946.97M"/>
    <n v="946970000"/>
    <n v="3.7733613525243673E-4"/>
    <n v="91"/>
    <x v="4"/>
    <n v="7.1999999999999998E-3"/>
    <n v="5.04E-2"/>
    <x v="4"/>
    <n v="1.9300000000000001E-2"/>
    <n v="1.9999940000179999E-2"/>
    <n v="2.0001440103687464E-2"/>
    <n v="1.9989925077760807E-2"/>
    <n v="5.9999820001266357E-8"/>
  </r>
  <r>
    <x v="91"/>
    <x v="91"/>
    <n v="8.1699999999999995E-2"/>
    <n v="5.1999999999999998E-3"/>
    <n v="18817231"/>
    <n v="5622803"/>
    <s v="230.25M"/>
    <n v="230250000"/>
    <n v="2.4420425624321389E-2"/>
    <n v="92"/>
    <x v="4"/>
    <n v="0.12479999999999999"/>
    <n v="0.87359999999999993"/>
    <x v="2"/>
    <n v="0.33453333333333335"/>
    <n v="8.1695751820905313E-2"/>
    <n v="8.180208900708083E-2"/>
    <n v="8.0992449957174112E-2"/>
    <n v="4.248179094681892E-6"/>
  </r>
  <r>
    <x v="92"/>
    <x v="92"/>
    <n v="5.4999999999999997E-3"/>
    <n v="1.06E-2"/>
    <n v="18668308"/>
    <n v="181555"/>
    <s v="3.39B"/>
    <n v="3390000000"/>
    <n v="5.3556047197640117E-5"/>
    <n v="93"/>
    <x v="4"/>
    <n v="0.25440000000000002"/>
    <n v="1.7808000000000002"/>
    <x v="4"/>
    <n v="0.68193333333333339"/>
    <n v="5.4994170617914499E-3"/>
    <n v="5.5140276864342882E-3"/>
    <n v="5.4037696697215969E-3"/>
    <n v="5.8293820854975198E-7"/>
  </r>
  <r>
    <x v="93"/>
    <x v="93"/>
    <n v="3.8899999999999997E-2"/>
    <n v="0"/>
    <n v="18667205"/>
    <n v="1002"/>
    <s v="479.99M"/>
    <n v="479990000"/>
    <n v="2.0875434904893851E-6"/>
    <n v="94"/>
    <x v="4"/>
    <n v="0"/>
    <n v="0"/>
    <x v="4"/>
    <n v="0"/>
    <n v="3.8899999999999997E-2"/>
    <n v="3.8899999999999997E-2"/>
    <n v="3.8899999999999997E-2"/>
    <n v="0"/>
  </r>
  <r>
    <x v="94"/>
    <x v="94"/>
    <n v="9.4000000000000004E-3"/>
    <n v="4.0000000000000002E-4"/>
    <n v="18606007"/>
    <n v="189918"/>
    <s v="1.98B"/>
    <n v="1980000000"/>
    <n v="9.591818181818182E-5"/>
    <n v="95"/>
    <x v="4"/>
    <n v="9.6000000000000009E-3"/>
    <n v="6.720000000000001E-2"/>
    <x v="4"/>
    <n v="2.5733333333333334E-2"/>
    <n v="9.3999624001504002E-3"/>
    <n v="9.4009024866387181E-3"/>
    <n v="9.3936874420389501E-3"/>
    <n v="3.759984960015339E-8"/>
  </r>
  <r>
    <x v="95"/>
    <x v="95"/>
    <n v="6.6400000000000001E-2"/>
    <n v="6.9999999999999999E-4"/>
    <n v="18591856"/>
    <n v="4765140"/>
    <s v="280M"/>
    <n v="280000000"/>
    <n v="1.7018357142857144E-2"/>
    <n v="96"/>
    <x v="4"/>
    <n v="1.6799999999999999E-2"/>
    <n v="0.1176"/>
    <x v="2"/>
    <n v="4.5033333333333335E-2"/>
    <n v="6.6399535203253576E-2"/>
    <n v="6.6411157074388494E-2"/>
    <n v="6.6322005321741623E-2"/>
    <n v="4.6479674642441182E-7"/>
  </r>
  <r>
    <x v="96"/>
    <x v="96"/>
    <n v="2.18E-2"/>
    <n v="7.7000000000000002E-3"/>
    <n v="18540898"/>
    <n v="4492892"/>
    <s v="850.96M"/>
    <n v="850960000"/>
    <n v="5.2797922346526274E-3"/>
    <n v="97"/>
    <x v="4"/>
    <n v="0.18480000000000002"/>
    <n v="1.2936000000000001"/>
    <x v="4"/>
    <n v="0.49536666666666673"/>
    <n v="2.1798321529242246E-2"/>
    <n v="2.1840360987104169E-2"/>
    <n v="2.1521596626045473E-2"/>
    <n v="1.6784707577537084E-6"/>
  </r>
  <r>
    <x v="97"/>
    <x v="97"/>
    <n v="16.850000000000001"/>
    <n v="5.0000000000000001E-3"/>
    <n v="18536240"/>
    <n v="119734"/>
    <s v="1.1M"/>
    <n v="1100000"/>
    <n v="0.10884909090909091"/>
    <n v="98"/>
    <x v="5"/>
    <n v="0.12"/>
    <n v="0.84"/>
    <x v="3"/>
    <n v="0.32166666666666666"/>
    <n v="16.849157542122892"/>
    <n v="16.870244293151782"/>
    <n v="16.709639032130109"/>
    <n v="8.4245787710912623E-4"/>
  </r>
  <r>
    <x v="98"/>
    <x v="98"/>
    <n v="0.1108"/>
    <n v="1.04E-2"/>
    <n v="14785022"/>
    <n v="32485149"/>
    <s v="133.39M"/>
    <n v="133389999.99999999"/>
    <n v="0.24353511507609268"/>
    <n v="99"/>
    <x v="4"/>
    <n v="0.24959999999999999"/>
    <n v="1.7471999999999999"/>
    <x v="2"/>
    <n v="0.6690666666666667"/>
    <n v="0.11078847799828816"/>
    <n v="0.11107724881303735"/>
    <n v="0.10889734557806013"/>
    <n v="1.1522001711838925E-5"/>
  </r>
  <r>
    <x v="99"/>
    <x v="99"/>
    <n v="7.0000000000000001E-3"/>
    <n v="4.5999999999999999E-3"/>
    <n v="14719301"/>
    <n v="138"/>
    <s v="2.09B"/>
    <n v="2089999999.9999998"/>
    <n v="6.6028708133971298E-8"/>
    <n v="100"/>
    <x v="4"/>
    <n v="0.1104"/>
    <n v="0.77279999999999993"/>
    <x v="4"/>
    <n v="0.29593333333333333"/>
    <n v="6.9996780148113185E-3"/>
    <n v="7.0077365411414204E-3"/>
    <n v="6.9463188479430959E-3"/>
    <n v="3.2198518868167825E-7"/>
  </r>
  <r>
    <x v="100"/>
    <x v="100"/>
    <n v="4.0000000000000002E-4"/>
    <n v="1.1000000000000001E-3"/>
    <n v="14681529"/>
    <n v="499518"/>
    <s v="40.64B"/>
    <n v="40640000000"/>
    <n v="1.2291289370078741E-5"/>
    <n v="101"/>
    <x v="4"/>
    <n v="2.64E-2"/>
    <n v="0.18479999999999999"/>
    <x v="4"/>
    <n v="7.0766666666666658E-2"/>
    <n v="3.9999560004839947E-4"/>
    <n v="4.0010562788576188E-4"/>
    <n v="3.9926216352181171E-4"/>
    <n v="4.3999516005470418E-9"/>
  </r>
  <r>
    <x v="101"/>
    <x v="101"/>
    <n v="2.0000000000000001E-4"/>
    <n v="5.1999999999999998E-3"/>
    <n v="14616635"/>
    <n v="6112676"/>
    <s v="69B"/>
    <n v="69000000000"/>
    <n v="8.8589507246376807E-5"/>
    <n v="102"/>
    <x v="4"/>
    <n v="0.12479999999999999"/>
    <n v="0.87359999999999993"/>
    <x v="4"/>
    <n v="0.33453333333333335"/>
    <n v="1.999896005407719E-4"/>
    <n v="2.0024991189003879E-4"/>
    <n v="1.9826793135171146E-4"/>
    <n v="1.0399459228114215E-8"/>
  </r>
  <r>
    <x v="102"/>
    <x v="102"/>
    <n v="3.32E-2"/>
    <n v="0"/>
    <n v="14606826"/>
    <n v="4251361"/>
    <s v="439.65M"/>
    <n v="439650000"/>
    <n v="9.6698760377573068E-3"/>
    <n v="103"/>
    <x v="4"/>
    <n v="0"/>
    <n v="0"/>
    <x v="4"/>
    <n v="0"/>
    <n v="3.32E-2"/>
    <n v="3.32E-2"/>
    <n v="3.32E-2"/>
    <n v="0"/>
  </r>
  <r>
    <x v="103"/>
    <x v="103"/>
    <n v="2.9899999999999999E-2"/>
    <n v="1E-4"/>
    <n v="14570562"/>
    <n v="316134"/>
    <s v="487.69M"/>
    <n v="487690000"/>
    <n v="6.4822735754270131E-4"/>
    <n v="104"/>
    <x v="4"/>
    <n v="2.4000000000000002E-3"/>
    <n v="1.6800000000000002E-2"/>
    <x v="4"/>
    <n v="6.4333333333333334E-3"/>
    <n v="2.9899970100029902E-2"/>
    <n v="2.9900717617222815E-2"/>
    <n v="2.989497764375585E-2"/>
    <n v="2.9899970097058137E-8"/>
  </r>
  <r>
    <x v="104"/>
    <x v="104"/>
    <n v="7.1599999999999997E-2"/>
    <n v="4.1000000000000003E-3"/>
    <n v="14516193"/>
    <n v="542805"/>
    <s v="899.59T"/>
    <n v="899590000000000"/>
    <n v="6.0339154503718361E-10"/>
    <n v="105"/>
    <x v="4"/>
    <n v="9.8400000000000015E-2"/>
    <n v="0.68880000000000008"/>
    <x v="2"/>
    <n v="0.2637666666666667"/>
    <n v="7.1597064520354664E-2"/>
    <n v="7.1670523795414678E-2"/>
    <n v="7.1110192990680193E-2"/>
    <n v="2.9354796453329168E-6"/>
  </r>
  <r>
    <x v="105"/>
    <x v="105"/>
    <n v="1.44E-2"/>
    <n v="1.4E-3"/>
    <n v="14440722"/>
    <n v="1406872"/>
    <s v="999.99M"/>
    <n v="999990000"/>
    <n v="1.4068860688606886E-3"/>
    <n v="106"/>
    <x v="4"/>
    <n v="3.3599999999999998E-2"/>
    <n v="0.23519999999999999"/>
    <x v="4"/>
    <n v="9.006666666666667E-2"/>
    <n v="1.4399798402822361E-2"/>
    <n v="1.4404840026248819E-2"/>
    <n v="1.4366210672498285E-2"/>
    <n v="2.015971776389569E-7"/>
  </r>
  <r>
    <x v="106"/>
    <x v="106"/>
    <n v="0.1963"/>
    <n v="8.0999999999999996E-3"/>
    <n v="14425837"/>
    <n v="686075"/>
    <s v="73.46M"/>
    <n v="73460000"/>
    <n v="9.3394364279880213E-3"/>
    <n v="107"/>
    <x v="4"/>
    <n v="0.19439999999999999"/>
    <n v="1.3608"/>
    <x v="2"/>
    <n v="0.52110000000000001"/>
    <n v="0.19628410098781998"/>
    <n v="0.19668235048935129"/>
    <n v="0.1936646119604423"/>
    <n v="1.5899012180020655E-5"/>
  </r>
  <r>
    <x v="107"/>
    <x v="107"/>
    <n v="1.4800000000000001E-2"/>
    <n v="1.1999999999999999E-3"/>
    <n v="14389863"/>
    <n v="34241"/>
    <s v="969.99M"/>
    <n v="969990000"/>
    <n v="3.5300363921277537E-5"/>
    <n v="108"/>
    <x v="4"/>
    <n v="2.8799999999999999E-2"/>
    <n v="0.2016"/>
    <x v="4"/>
    <n v="7.7200000000000005E-2"/>
    <n v="1.4799822402131176E-2"/>
    <n v="1.4804263627924842E-2"/>
    <n v="1.4770223229968384E-2"/>
    <n v="1.7759786882440287E-7"/>
  </r>
  <r>
    <x v="108"/>
    <x v="108"/>
    <n v="4.2999999999999997E-2"/>
    <n v="2.8E-3"/>
    <n v="11345859"/>
    <n v="810252"/>
    <s v="263.73M"/>
    <n v="263730000.00000003"/>
    <n v="3.0722784666135819E-3"/>
    <n v="109"/>
    <x v="4"/>
    <n v="6.7199999999999996E-2"/>
    <n v="0.47039999999999998"/>
    <x v="4"/>
    <n v="0.18013333333333334"/>
    <n v="4.2998796033711054E-2"/>
    <n v="4.302891543116974E-2"/>
    <n v="4.2798675032646429E-2"/>
    <n v="1.2039662889429259E-6"/>
  </r>
  <r>
    <x v="109"/>
    <x v="109"/>
    <n v="1.6899999999999998E-2"/>
    <n v="1.0999999999999999E-2"/>
    <n v="11304052"/>
    <n v="8799764"/>
    <s v="670.18M"/>
    <n v="670180000"/>
    <n v="1.3130448536214151E-2"/>
    <n v="110"/>
    <x v="4"/>
    <n v="0.26400000000000001"/>
    <n v="1.8480000000000001"/>
    <x v="4"/>
    <n v="0.70766666666666678"/>
    <n v="1.6898141204467507E-2"/>
    <n v="1.6944734098018766E-2"/>
    <n v="1.6593354803236194E-2"/>
    <n v="1.8587955324909922E-6"/>
  </r>
  <r>
    <x v="110"/>
    <x v="110"/>
    <n v="5.6399999999999999E-2"/>
    <n v="5.0000000000000001E-4"/>
    <n v="11274163"/>
    <n v="6405267"/>
    <s v="200M"/>
    <n v="200000000"/>
    <n v="3.2026335000000003E-2"/>
    <n v="111"/>
    <x v="4"/>
    <n v="1.2E-2"/>
    <n v="8.4000000000000005E-2"/>
    <x v="2"/>
    <n v="3.216666666666667E-2"/>
    <n v="5.6399718001409992E-2"/>
    <n v="5.6406768812257473E-2"/>
    <n v="5.6352663762439553E-2"/>
    <n v="2.8199859000710426E-7"/>
  </r>
  <r>
    <x v="111"/>
    <x v="111"/>
    <n v="0.32490000000000002"/>
    <n v="4.5999999999999999E-3"/>
    <n v="11243721"/>
    <n v="25910"/>
    <s v="34.59M"/>
    <n v="34590000"/>
    <n v="7.4906042208730842E-4"/>
    <n v="112"/>
    <x v="4"/>
    <n v="0.1104"/>
    <n v="0.77279999999999993"/>
    <x v="2"/>
    <n v="0.29593333333333333"/>
    <n v="0.32488505528745681"/>
    <n v="0.3252590860309782"/>
    <n v="0.32240842767095884"/>
    <n v="1.4944712543207839E-5"/>
  </r>
  <r>
    <x v="112"/>
    <x v="112"/>
    <n v="0.18329999999999999"/>
    <n v="2.5999999999999999E-2"/>
    <n v="11181505"/>
    <n v="95241"/>
    <s v="60.97M"/>
    <n v="60970000"/>
    <n v="1.5620961128423815E-3"/>
    <n v="114"/>
    <x v="4"/>
    <n v="0.624"/>
    <n v="4.3680000000000003"/>
    <x v="2"/>
    <n v="1.672666666666667"/>
    <n v="0.18325235438785917"/>
    <n v="0.18445097407824826"/>
    <n v="0.17562854514793808"/>
    <n v="4.7645612140823079E-5"/>
  </r>
  <r>
    <x v="113"/>
    <x v="113"/>
    <n v="1.24E-2"/>
    <n v="1.6400000000000001E-2"/>
    <n v="11184297"/>
    <n v="1157910"/>
    <s v="899.84M"/>
    <n v="899840000"/>
    <n v="1.2867954302987197E-3"/>
    <n v="113"/>
    <x v="4"/>
    <n v="0.39360000000000006"/>
    <n v="2.7552000000000003"/>
    <x v="4"/>
    <n v="1.0550666666666668"/>
    <n v="1.2397966733455713E-2"/>
    <n v="1.2448999261091657E-2"/>
    <n v="1.2067515804552956E-2"/>
    <n v="2.0332665442868852E-6"/>
  </r>
  <r>
    <x v="114"/>
    <x v="114"/>
    <n v="4.1999999999999997E-3"/>
    <n v="8.6999999999999994E-3"/>
    <n v="11144288"/>
    <n v="19472"/>
    <s v="2.62B"/>
    <n v="2620000000"/>
    <n v="7.4320610687022905E-6"/>
    <n v="116"/>
    <x v="4"/>
    <n v="0.20879999999999999"/>
    <n v="1.4615999999999998"/>
    <x v="4"/>
    <n v="0.55969999999999998"/>
    <n v="4.1996346317870348E-3"/>
    <n v="4.2087879492380088E-3"/>
    <n v="4.1394971102367787E-3"/>
    <n v="3.6536821296489358E-7"/>
  </r>
  <r>
    <x v="115"/>
    <x v="115"/>
    <n v="7.4499999999999997E-2"/>
    <n v="5.1000000000000004E-3"/>
    <n v="11155057"/>
    <n v="233918"/>
    <s v="247.73T"/>
    <n v="247730000000000"/>
    <n v="9.4424575142292003E-10"/>
    <n v="115"/>
    <x v="4"/>
    <n v="0.12240000000000001"/>
    <n v="0.85680000000000001"/>
    <x v="2"/>
    <n v="0.3281"/>
    <n v="7.4496200693764614E-2"/>
    <n v="7.4591299750895096E-2"/>
    <n v="7.3867106630390811E-2"/>
    <n v="3.7993062353830487E-6"/>
  </r>
  <r>
    <x v="116"/>
    <x v="116"/>
    <n v="0.21590000000000001"/>
    <n v="3.8E-3"/>
    <n v="11101030"/>
    <n v="105278"/>
    <s v="51.39M"/>
    <n v="51390000"/>
    <n v="2.0486086787312708E-3"/>
    <n v="117"/>
    <x v="4"/>
    <n v="9.1200000000000003E-2"/>
    <n v="0.63840000000000008"/>
    <x v="2"/>
    <n v="0.24446666666666669"/>
    <n v="0.21589179611174777"/>
    <n v="0.21609708053745016"/>
    <n v="0.21453043768581379"/>
    <n v="8.2038882522339485E-6"/>
  </r>
  <r>
    <x v="117"/>
    <x v="117"/>
    <n v="5.0000000000000001E-4"/>
    <n v="9.1999999999999998E-3"/>
    <n v="11082865"/>
    <n v="8599503"/>
    <s v="22.79B"/>
    <n v="22790000000"/>
    <n v="3.7733668275559455E-4"/>
    <n v="118"/>
    <x v="4"/>
    <n v="0.2208"/>
    <n v="1.5455999999999999"/>
    <x v="4"/>
    <n v="0.59186666666666665"/>
    <n v="4.9995400423161066E-4"/>
    <n v="5.0110644302620185E-4"/>
    <n v="4.9238962594144904E-4"/>
    <n v="4.599576838935221E-8"/>
  </r>
  <r>
    <x v="118"/>
    <x v="118"/>
    <n v="0.99929999999999997"/>
    <n v="5.0000000000000001E-4"/>
    <n v="8799631"/>
    <n v="50214459"/>
    <s v="8.8M"/>
    <n v="8800000"/>
    <n v="5.7061885227272731"/>
    <n v="119"/>
    <x v="3"/>
    <n v="1.2E-2"/>
    <n v="8.4000000000000005E-2"/>
    <x v="1"/>
    <n v="3.216666666666667E-2"/>
    <n v="0.99929500352498235"/>
    <n v="0.999419930391647"/>
    <n v="0.99846129251428806"/>
    <n v="4.9964750176156869E-6"/>
  </r>
  <r>
    <x v="119"/>
    <x v="119"/>
    <n v="3.38"/>
    <n v="8.9999999999999998E-4"/>
    <n v="8770979"/>
    <n v="10"/>
    <s v="2.59M"/>
    <n v="2590000"/>
    <n v="3.8610038610038611E-6"/>
    <n v="120"/>
    <x v="2"/>
    <n v="2.1600000000000001E-2"/>
    <n v="0.1512"/>
    <x v="1"/>
    <n v="5.79E-2"/>
    <n v="3.3799695802737775"/>
    <n v="3.38073023773135"/>
    <n v="3.3748971555008827"/>
    <n v="3.0419726222419285E-5"/>
  </r>
  <r>
    <x v="120"/>
    <x v="120"/>
    <n v="0.89400000000000002"/>
    <n v="3.7000000000000002E-3"/>
    <n v="8762689"/>
    <n v="1784357"/>
    <s v="9.8M"/>
    <n v="9800000"/>
    <n v="0.18207724489795918"/>
    <n v="121"/>
    <x v="3"/>
    <n v="8.8800000000000004E-2"/>
    <n v="0.62160000000000004"/>
    <x v="1"/>
    <n v="0.23803333333333335"/>
    <n v="0.89396692322384064"/>
    <n v="0.89479457758489545"/>
    <n v="0.88847722556588249"/>
    <n v="3.3076776159379762E-5"/>
  </r>
  <r>
    <x v="121"/>
    <x v="121"/>
    <n v="8.8000000000000005E-3"/>
    <n v="1.1299999999999999E-2"/>
    <n v="8757334"/>
    <n v="1018996"/>
    <s v="990.28M"/>
    <n v="990280000"/>
    <n v="1.0289978591913398E-3"/>
    <n v="122"/>
    <x v="4"/>
    <n v="0.2712"/>
    <n v="1.8984000000000001"/>
    <x v="4"/>
    <n v="0.72696666666666676"/>
    <n v="8.7990057123545039E-3"/>
    <n v="8.8239304995146855E-3"/>
    <n v="8.6360531666836767E-3"/>
    <n v="9.9428764549665261E-7"/>
  </r>
  <r>
    <x v="122"/>
    <x v="122"/>
    <n v="3.6299999999999999E-2"/>
    <n v="1.4E-3"/>
    <n v="8738652"/>
    <n v="849245"/>
    <s v="240.6M"/>
    <n v="240600000"/>
    <n v="3.529696591853699E-3"/>
    <n v="123"/>
    <x v="4"/>
    <n v="3.3599999999999998E-2"/>
    <n v="0.23519999999999999"/>
    <x v="4"/>
    <n v="9.006666666666667E-2"/>
    <n v="3.6299491807114698E-2"/>
    <n v="3.6312200899502232E-2"/>
    <n v="3.621482273692276E-2"/>
    <n v="5.0819288530123963E-7"/>
  </r>
  <r>
    <x v="123"/>
    <x v="123"/>
    <n v="4.5600000000000002E-2"/>
    <n v="2.3999999999999998E-3"/>
    <n v="8732769"/>
    <n v="31161"/>
    <s v="191.31M"/>
    <n v="191310000"/>
    <n v="1.6288223302493335E-4"/>
    <n v="124"/>
    <x v="4"/>
    <n v="5.7599999999999998E-2"/>
    <n v="0.4032"/>
    <x v="4"/>
    <n v="0.15440000000000001"/>
    <n v="4.5598905626264973E-2"/>
    <n v="4.5626280737704923E-2"/>
    <n v="4.5416879143294238E-2"/>
    <n v="1.0943737350291305E-6"/>
  </r>
  <r>
    <x v="124"/>
    <x v="124"/>
    <n v="8.7099999999999997E-2"/>
    <n v="6.1999999999999998E-3"/>
    <n v="8712671"/>
    <n v="260752"/>
    <s v="99.99M"/>
    <n v="99990000"/>
    <n v="2.607780778077808E-3"/>
    <n v="125"/>
    <x v="4"/>
    <n v="0.14879999999999999"/>
    <n v="1.0415999999999999"/>
    <x v="2"/>
    <n v="0.39886666666666665"/>
    <n v="8.7094600134791644E-2"/>
    <n v="8.7229797939333734E-2"/>
    <n v="8.6202118731294838E-2"/>
    <n v="5.3998652083525611E-6"/>
  </r>
  <r>
    <x v="125"/>
    <x v="125"/>
    <n v="3.95E-2"/>
    <n v="4.1000000000000003E-3"/>
    <n v="8699473"/>
    <n v="7734230"/>
    <s v="220.1M"/>
    <n v="220100000"/>
    <n v="3.5139618355293049E-2"/>
    <n v="126"/>
    <x v="4"/>
    <n v="9.8400000000000015E-2"/>
    <n v="0.68880000000000008"/>
    <x v="4"/>
    <n v="0.2637666666666667"/>
    <n v="3.9498380566396783E-2"/>
    <n v="3.9538906283783246E-2"/>
    <n v="3.9229785239271897E-2"/>
    <n v="1.6194336032171464E-6"/>
  </r>
  <r>
    <x v="126"/>
    <x v="126"/>
    <n v="9.8699999999999996E-2"/>
    <n v="4.3E-3"/>
    <n v="8669853"/>
    <n v="229548"/>
    <s v="87.82M"/>
    <n v="87820000"/>
    <n v="2.6138465042131634E-3"/>
    <n v="127"/>
    <x v="4"/>
    <n v="0.1032"/>
    <n v="0.72240000000000004"/>
    <x v="2"/>
    <n v="0.27663333333333334"/>
    <n v="9.8695756082488442E-2"/>
    <n v="9.8801963626462513E-2"/>
    <n v="9.7992105033239879E-2"/>
    <n v="4.2439175115538408E-6"/>
  </r>
  <r>
    <x v="127"/>
    <x v="127"/>
    <n v="0.29120000000000001"/>
    <n v="4.3E-3"/>
    <n v="8662826"/>
    <n v="65907"/>
    <s v="29.74M"/>
    <n v="29740000"/>
    <n v="2.2161062542030933E-3"/>
    <n v="128"/>
    <x v="4"/>
    <n v="0.1032"/>
    <n v="0.72240000000000004"/>
    <x v="2"/>
    <n v="0.27663333333333334"/>
    <n v="0.29118747893840569"/>
    <n v="0.29150082885537876"/>
    <n v="0.28911145882147371"/>
    <n v="1.2521061594328309E-5"/>
  </r>
  <r>
    <x v="128"/>
    <x v="128"/>
    <n v="3.4700000000000002E-2"/>
    <n v="1.5E-3"/>
    <n v="6977656"/>
    <n v="146941"/>
    <s v="201.12M"/>
    <n v="201120000"/>
    <n v="7.3061356404136837E-4"/>
    <n v="129"/>
    <x v="4"/>
    <n v="3.6000000000000004E-2"/>
    <n v="0.252"/>
    <x v="4"/>
    <n v="9.6499999999999989E-2"/>
    <n v="3.4699479507807378E-2"/>
    <n v="3.4712496498739552E-2"/>
    <n v="3.461277580497147E-2"/>
    <n v="5.2049219262384483E-7"/>
  </r>
  <r>
    <x v="129"/>
    <x v="129"/>
    <n v="1.9300000000000001E-2"/>
    <n v="2.0000000000000001E-4"/>
    <n v="6955385"/>
    <n v="6780"/>
    <s v="359.59M"/>
    <n v="359590000"/>
    <n v="1.8854806863372173E-5"/>
    <n v="130"/>
    <x v="4"/>
    <n v="4.8000000000000004E-3"/>
    <n v="3.3600000000000005E-2"/>
    <x v="4"/>
    <n v="1.2866666666666667E-2"/>
    <n v="1.9299961400077201E-2"/>
    <n v="1.9300926444469336E-2"/>
    <n v="1.929351737816094E-2"/>
    <n v="3.859992279975355E-8"/>
  </r>
  <r>
    <x v="130"/>
    <x v="130"/>
    <n v="1.38"/>
    <n v="2.8500000000000001E-2"/>
    <n v="6916559"/>
    <n v="425962"/>
    <s v="4.99M"/>
    <n v="4990000"/>
    <n v="8.5363126252505014E-2"/>
    <n v="131"/>
    <x v="6"/>
    <n v="0.68400000000000005"/>
    <n v="4.7880000000000003"/>
    <x v="1"/>
    <n v="1.8335000000000001"/>
    <n v="1.3796068120585632"/>
    <n v="1.3895042087881104"/>
    <n v="1.3169446883230904"/>
    <n v="3.9318794143672342E-4"/>
  </r>
  <r>
    <x v="131"/>
    <x v="131"/>
    <n v="2.9999999999999997E-4"/>
    <n v="5.9999999999999995E-4"/>
    <n v="6910668"/>
    <n v="87808"/>
    <s v="23.06B"/>
    <n v="23060000000"/>
    <n v="3.8078057241977451E-6"/>
    <n v="132"/>
    <x v="4"/>
    <n v="1.44E-2"/>
    <n v="0.1008"/>
    <x v="4"/>
    <n v="3.8600000000000002E-2"/>
    <n v="2.9999820001079991E-4"/>
    <n v="3.0004320622169592E-4"/>
    <n v="2.9969790451225164E-4"/>
    <n v="1.7999892000628188E-9"/>
  </r>
  <r>
    <x v="132"/>
    <x v="132"/>
    <n v="1E-3"/>
    <n v="3.8E-3"/>
    <n v="6901123"/>
    <n v="187469"/>
    <s v="6.93B"/>
    <n v="6930000000"/>
    <n v="2.7051803751803753E-5"/>
    <n v="133"/>
    <x v="4"/>
    <n v="9.1200000000000003E-2"/>
    <n v="0.63840000000000008"/>
    <x v="4"/>
    <n v="0.24446666666666669"/>
    <n v="9.9996200144394508E-4"/>
    <n v="1.0009128325032431E-3"/>
    <n v="9.9365649692363949E-4"/>
    <n v="3.7998556054940832E-8"/>
  </r>
  <r>
    <x v="133"/>
    <x v="133"/>
    <n v="0.13519999999999999"/>
    <n v="1.8E-3"/>
    <n v="6897513"/>
    <n v="340331"/>
    <s v="50.99M"/>
    <n v="50990000"/>
    <n v="6.6744655814865656E-3"/>
    <n v="134"/>
    <x v="4"/>
    <n v="4.3200000000000002E-2"/>
    <n v="0.3024"/>
    <x v="2"/>
    <n v="0.1158"/>
    <n v="0.13519756644380398"/>
    <n v="0.13525843164246953"/>
    <n v="0.13479238781923464"/>
    <n v="2.4335561960020513E-6"/>
  </r>
  <r>
    <x v="134"/>
    <x v="134"/>
    <n v="4.8999999999999998E-3"/>
    <n v="1.1999999999999999E-3"/>
    <n v="6894766"/>
    <n v="321408"/>
    <s v="1.4B"/>
    <n v="1400000000"/>
    <n v="2.2957714285714285E-4"/>
    <n v="135"/>
    <x v="4"/>
    <n v="2.8799999999999999E-2"/>
    <n v="0.2016"/>
    <x v="4"/>
    <n v="7.7200000000000005E-2"/>
    <n v="4.8999412007055916E-3"/>
    <n v="4.9014116065426837E-3"/>
    <n v="4.8901414747868294E-3"/>
    <n v="5.8799294408266867E-8"/>
  </r>
  <r>
    <x v="135"/>
    <x v="135"/>
    <n v="6.0499999999999998E-2"/>
    <n v="1.5900000000000001E-2"/>
    <n v="5328756"/>
    <n v="4164781"/>
    <s v="88.03M"/>
    <n v="88030000"/>
    <n v="4.7310928092695673E-2"/>
    <n v="136"/>
    <x v="4"/>
    <n v="0.38160000000000005"/>
    <n v="2.6712000000000002"/>
    <x v="2"/>
    <n v="1.0229000000000001"/>
    <n v="6.0490382029257342E-2"/>
    <n v="6.0731752367032599E-2"/>
    <n v="5.892596950264533E-2"/>
    <n v="9.6179707426563565E-6"/>
  </r>
  <r>
    <x v="136"/>
    <x v="136"/>
    <n v="0.26100000000000001"/>
    <n v="1.1000000000000001E-3"/>
    <n v="5322203"/>
    <n v="3754649"/>
    <s v="20.38M"/>
    <n v="20380000"/>
    <n v="0.18423204121687931"/>
    <n v="137"/>
    <x v="4"/>
    <n v="2.64E-2"/>
    <n v="0.18479999999999999"/>
    <x v="2"/>
    <n v="7.0766666666666658E-2"/>
    <n v="0.26099712903158068"/>
    <n v="0.26106892219545963"/>
    <n v="0.2605185616979821"/>
    <n v="2.8709684193328755E-6"/>
  </r>
  <r>
    <x v="137"/>
    <x v="137"/>
    <n v="5.8999999999999999E-3"/>
    <n v="1.1000000000000001E-3"/>
    <n v="5321075"/>
    <n v="59834"/>
    <s v="905.3M"/>
    <n v="905300000"/>
    <n v="6.6093007842704072E-5"/>
    <n v="138"/>
    <x v="4"/>
    <n v="2.64E-2"/>
    <n v="0.18479999999999999"/>
    <x v="4"/>
    <n v="7.0766666666666658E-2"/>
    <n v="5.8999351007138923E-3"/>
    <n v="5.9015580113149875E-3"/>
    <n v="5.8891169119467219E-3"/>
    <n v="6.4899286107526766E-8"/>
  </r>
  <r>
    <x v="138"/>
    <x v="138"/>
    <n v="1.12E-2"/>
    <n v="2.9399999999999999E-2"/>
    <n v="5289262"/>
    <n v="30255"/>
    <s v="471M"/>
    <n v="471000000"/>
    <n v="6.4235668789808917E-5"/>
    <n v="139"/>
    <x v="4"/>
    <n v="0.7056"/>
    <n v="4.9391999999999996"/>
    <x v="4"/>
    <n v="1.8914"/>
    <n v="1.1196708167798667E-2"/>
    <n v="1.1279588778420535E-2"/>
    <n v="1.0672846753167547E-2"/>
    <n v="3.2918322013329032E-6"/>
  </r>
  <r>
    <x v="139"/>
    <x v="139"/>
    <n v="5.79E-2"/>
    <n v="8.9999999999999998E-4"/>
    <n v="5279826"/>
    <n v="1013267"/>
    <s v="91.22M"/>
    <n v="91220000"/>
    <n v="1.1107947818460863E-2"/>
    <n v="140"/>
    <x v="4"/>
    <n v="2.1600000000000001E-2"/>
    <n v="0.1512"/>
    <x v="2"/>
    <n v="5.79E-2"/>
    <n v="5.7899478904689862E-2"/>
    <n v="5.7912509101966027E-2"/>
    <n v="5.7812587367899737E-2"/>
    <n v="5.2109531013810884E-7"/>
  </r>
  <r>
    <x v="140"/>
    <x v="140"/>
    <n v="6.9500000000000006E-2"/>
    <n v="3.2000000000000002E-3"/>
    <n v="5273359"/>
    <n v="846710"/>
    <s v="75.91M"/>
    <n v="75910000"/>
    <n v="1.1154129890659992E-2"/>
    <n v="141"/>
    <x v="4"/>
    <n v="7.6800000000000007E-2"/>
    <n v="0.53760000000000008"/>
    <x v="2"/>
    <n v="0.20586666666666667"/>
    <n v="6.9497776071165723E-2"/>
    <n v="6.9553417024274644E-2"/>
    <n v="6.9128365904895281E-2"/>
    <n v="2.2239288342829067E-6"/>
  </r>
  <r>
    <x v="141"/>
    <x v="141"/>
    <n v="9.06"/>
    <n v="1.1900000000000001E-2"/>
    <n v="5254151"/>
    <n v="27503"/>
    <s v="579.84K"/>
    <n v="579840"/>
    <n v="4.7432050220750553E-2"/>
    <n v="142"/>
    <x v="2"/>
    <n v="0.28560000000000002"/>
    <n v="1.9992000000000001"/>
    <x v="3"/>
    <n v="0.76556666666666662"/>
    <n v="9.0589219882833945"/>
    <n v="9.0859494716911495"/>
    <n v="8.8824226072361352"/>
    <n v="1.0780117166060421E-3"/>
  </r>
  <r>
    <x v="142"/>
    <x v="142"/>
    <n v="0.30370000000000003"/>
    <n v="1.1900000000000001E-2"/>
    <n v="5249160"/>
    <n v="64548"/>
    <s v="17.27M"/>
    <n v="17270000"/>
    <n v="3.7375796178343947E-3"/>
    <n v="143"/>
    <x v="4"/>
    <n v="0.28560000000000002"/>
    <n v="1.9992000000000001"/>
    <x v="2"/>
    <n v="0.76556666666666662"/>
    <n v="0.30366386400018403"/>
    <n v="0.30456985149587223"/>
    <n v="0.29774743331320247"/>
    <n v="3.6135999816000464E-5"/>
  </r>
  <r>
    <x v="143"/>
    <x v="143"/>
    <n v="5.1999999999999998E-3"/>
    <n v="9.1000000000000004E-3"/>
    <n v="5236511"/>
    <n v="2582102"/>
    <s v="999.68M"/>
    <n v="999680000"/>
    <n v="2.5829285371318823E-3"/>
    <n v="144"/>
    <x v="4"/>
    <n v="0.21840000000000001"/>
    <n v="1.5288000000000002"/>
    <x v="4"/>
    <n v="0.58543333333333336"/>
    <n v="5.1995268430572814E-3"/>
    <n v="5.2113816575400668E-3"/>
    <n v="5.1216994586757644E-3"/>
    <n v="4.731569427183363E-7"/>
  </r>
  <r>
    <x v="144"/>
    <x v="144"/>
    <n v="2.4400000000000002E-2"/>
    <n v="2.9999999999999997E-4"/>
    <n v="5209385"/>
    <n v="289972"/>
    <s v="213.09M"/>
    <n v="213090000"/>
    <n v="1.3607959078323713E-3"/>
    <n v="145"/>
    <x v="4"/>
    <n v="7.1999999999999998E-3"/>
    <n v="5.04E-2"/>
    <x v="4"/>
    <n v="1.9300000000000001E-2"/>
    <n v="2.4399926800219601E-2"/>
    <n v="2.4401756926498708E-2"/>
    <n v="2.4387708594868187E-2"/>
    <n v="7.3199780400295955E-8"/>
  </r>
  <r>
    <x v="145"/>
    <x v="145"/>
    <n v="8.4400000000000003E-2"/>
    <n v="1.3299999999999999E-2"/>
    <n v="4203318"/>
    <n v="369327"/>
    <s v="960.42T"/>
    <n v="960420000000000"/>
    <n v="3.8454738551883551E-10"/>
    <n v="146"/>
    <x v="4"/>
    <n v="0.31919999999999998"/>
    <n v="2.2343999999999999"/>
    <x v="2"/>
    <n v="0.85563333333333336"/>
    <n v="8.438877629275307E-2"/>
    <n v="8.4670267493840337E-2"/>
    <n v="8.2555382532689597E-2"/>
    <n v="1.1223707246932335E-5"/>
  </r>
  <r>
    <x v="146"/>
    <x v="146"/>
    <n v="6.9999999999999999E-4"/>
    <n v="3.6900000000000002E-2"/>
    <n v="4174785"/>
    <n v="10230683"/>
    <s v="6B"/>
    <n v="6000000000"/>
    <n v="1.7051138333333334E-3"/>
    <n v="147"/>
    <x v="4"/>
    <n v="0.88560000000000005"/>
    <n v="6.1992000000000003"/>
    <x v="4"/>
    <n v="2.3739000000000003"/>
    <n v="6.9974179527754253E-4"/>
    <n v="7.0625459065483918E-4"/>
    <n v="6.5913867524425795E-4"/>
    <n v="2.5820472245746164E-7"/>
  </r>
  <r>
    <x v="147"/>
    <x v="147"/>
    <n v="2.76E-2"/>
    <n v="1E-3"/>
    <n v="4163952"/>
    <n v="96917"/>
    <s v="150.75M"/>
    <n v="150750000"/>
    <n v="6.4289883913764515E-4"/>
    <n v="148"/>
    <x v="4"/>
    <n v="2.4E-2"/>
    <n v="0.16800000000000001"/>
    <x v="4"/>
    <n v="6.433333333333334E-2"/>
    <n v="2.7599724002759968E-2"/>
    <n v="2.7606625590141633E-2"/>
    <n v="2.7553709767590449E-2"/>
    <n v="2.7599724003110615E-7"/>
  </r>
  <r>
    <x v="148"/>
    <x v="148"/>
    <n v="3.8999999999999998E-3"/>
    <n v="2.2000000000000001E-3"/>
    <n v="4148747"/>
    <n v="8766"/>
    <s v="1.05B"/>
    <n v="1050000000"/>
    <n v="8.348571428571428E-6"/>
    <n v="149"/>
    <x v="4"/>
    <n v="5.28E-2"/>
    <n v="0.36959999999999998"/>
    <x v="4"/>
    <n v="0.14153333333333332"/>
    <n v="3.8999142018875583E-3"/>
    <n v="3.902060287831975E-3"/>
    <n v="3.8856386794407869E-3"/>
    <n v="8.5798112441515945E-8"/>
  </r>
  <r>
    <x v="149"/>
    <x v="149"/>
    <n v="0.20660000000000001"/>
    <n v="9.7999999999999997E-3"/>
    <n v="4140168"/>
    <n v="106213"/>
    <s v="20.03M"/>
    <n v="20030000"/>
    <n v="5.3026959560659014E-3"/>
    <n v="150"/>
    <x v="4"/>
    <n v="0.23519999999999999"/>
    <n v="1.6463999999999999"/>
    <x v="2"/>
    <n v="0.63046666666666662"/>
    <n v="0.20657975518399199"/>
    <n v="0.20708706878578417"/>
    <n v="0.20325363219946796"/>
    <n v="2.0244816008013755E-5"/>
  </r>
  <r>
    <x v="150"/>
    <x v="150"/>
    <n v="8.9999999999999998E-4"/>
    <n v="2.9999999999999997E-4"/>
    <n v="4138839"/>
    <n v="847"/>
    <s v="4.37B"/>
    <n v="4370000000"/>
    <n v="1.9382151029748284E-7"/>
    <n v="151"/>
    <x v="4"/>
    <n v="7.1999999999999998E-3"/>
    <n v="5.04E-2"/>
    <x v="4"/>
    <n v="1.9300000000000001E-2"/>
    <n v="8.999973000081E-4"/>
    <n v="9.0006480466593589E-4"/>
    <n v="8.9954662849923625E-4"/>
    <n v="2.6999918999789235E-9"/>
  </r>
  <r>
    <x v="151"/>
    <x v="151"/>
    <n v="8.0000000000000004E-4"/>
    <n v="6.8999999999999999E-3"/>
    <n v="4130541"/>
    <n v="355240"/>
    <s v="5B"/>
    <n v="5000000000"/>
    <n v="7.1048000000000001E-5"/>
    <n v="152"/>
    <x v="4"/>
    <n v="0.1656"/>
    <n v="1.1592"/>
    <x v="4"/>
    <n v="0.44390000000000002"/>
    <n v="7.9994480380853722E-4"/>
    <n v="8.0132699750787306E-4"/>
    <n v="7.9083266771583802E-4"/>
    <n v="5.5196191462813897E-8"/>
  </r>
  <r>
    <x v="152"/>
    <x v="152"/>
    <n v="0.16200000000000001"/>
    <n v="2.7000000000000001E-3"/>
    <n v="3346569"/>
    <n v="331094"/>
    <s v="20.64M"/>
    <n v="20640000"/>
    <n v="1.6041375968992248E-2"/>
    <n v="153"/>
    <x v="4"/>
    <n v="6.4799999999999996E-2"/>
    <n v="0.4536"/>
    <x v="2"/>
    <n v="0.17369999999999999"/>
    <n v="0.16199562611809482"/>
    <n v="0.16210504406855641"/>
    <n v="0.16126848614683792"/>
    <n v="4.3738819051897249E-6"/>
  </r>
  <r>
    <x v="153"/>
    <x v="153"/>
    <n v="1.1999999999999999E-3"/>
    <n v="5.4000000000000003E-3"/>
    <n v="3339357"/>
    <n v="18420"/>
    <s v="2.69B"/>
    <n v="2690000000"/>
    <n v="6.847583643122677E-6"/>
    <n v="154"/>
    <x v="4"/>
    <n v="0.12959999999999999"/>
    <n v="0.90720000000000001"/>
    <x v="4"/>
    <n v="0.34739999999999999"/>
    <n v="1.1999352034990109E-3"/>
    <n v="1.2015572181547285E-3"/>
    <n v="1.1892114735122963E-3"/>
    <n v="6.4796500989002664E-8"/>
  </r>
  <r>
    <x v="154"/>
    <x v="154"/>
    <n v="4.0000000000000002E-4"/>
    <n v="9.5999999999999992E-3"/>
    <n v="3333341"/>
    <n v="1613699"/>
    <s v="8.29B"/>
    <n v="8289999999.999999"/>
    <n v="1.9465609167671895E-4"/>
    <n v="155"/>
    <x v="4"/>
    <n v="0.23039999999999999"/>
    <n v="1.6128"/>
    <x v="4"/>
    <n v="0.61760000000000004"/>
    <n v="3.9996160368604614E-4"/>
    <n v="4.0092372826993391E-4"/>
    <n v="3.9365119355041887E-4"/>
    <n v="3.8396313953878523E-8"/>
  </r>
  <r>
    <x v="155"/>
    <x v="155"/>
    <n v="5.3999999999999999E-2"/>
    <n v="1.6000000000000001E-3"/>
    <n v="3321989"/>
    <n v="875780"/>
    <s v="61.46M"/>
    <n v="61460000"/>
    <n v="1.4249593231369997E-2"/>
    <n v="156"/>
    <x v="4"/>
    <n v="3.8400000000000004E-2"/>
    <n v="0.26880000000000004"/>
    <x v="2"/>
    <n v="0.10293333333333334"/>
    <n v="5.3999136013823779E-2"/>
    <n v="5.4020743965682821E-2"/>
    <n v="5.3855237122614412E-2"/>
    <n v="8.6398617622079898E-7"/>
  </r>
  <r>
    <x v="156"/>
    <x v="156"/>
    <n v="1.32E-2"/>
    <n v="1.12E-2"/>
    <n v="3318891"/>
    <n v="2394175"/>
    <s v="251.34M"/>
    <n v="251340000"/>
    <n v="9.5256425559003734E-3"/>
    <n v="157"/>
    <x v="4"/>
    <n v="0.26879999999999998"/>
    <n v="1.8815999999999999"/>
    <x v="4"/>
    <n v="0.72053333333333336"/>
    <n v="1.3198521765562259E-2"/>
    <n v="1.3235577231598537E-2"/>
    <n v="1.2956215842703688E-2"/>
    <n v="1.4782344377409912E-6"/>
  </r>
  <r>
    <x v="157"/>
    <x v="157"/>
    <n v="4.1999999999999997E-3"/>
    <n v="2.9999999999999997E-4"/>
    <n v="3316153"/>
    <n v="95553"/>
    <s v="787.4M"/>
    <n v="787400000"/>
    <n v="1.2135255270510541E-4"/>
    <n v="158"/>
    <x v="4"/>
    <n v="7.1999999999999998E-3"/>
    <n v="5.04E-2"/>
    <x v="4"/>
    <n v="1.9300000000000001E-2"/>
    <n v="4.1999874000377994E-3"/>
    <n v="4.2003024217743675E-3"/>
    <n v="4.1978842663297697E-3"/>
    <n v="1.2599962200335324E-8"/>
  </r>
  <r>
    <x v="158"/>
    <x v="158"/>
    <n v="3.6499999999999998E-2"/>
    <n v="2.8999999999999998E-3"/>
    <n v="3296073"/>
    <n v="1991360"/>
    <s v="90.23M"/>
    <n v="90230000"/>
    <n v="2.2069821567106285E-2"/>
    <n v="159"/>
    <x v="4"/>
    <n v="6.9599999999999995E-2"/>
    <n v="0.48719999999999997"/>
    <x v="4"/>
    <n v="0.18656666666666666"/>
    <n v="3.6498941530695606E-2"/>
    <n v="3.6525421693498671E-2"/>
    <n v="3.6323034177487279E-2"/>
    <n v="1.0584693043921845E-6"/>
  </r>
  <r>
    <x v="159"/>
    <x v="159"/>
    <n v="2.9999999999999997E-4"/>
    <n v="0"/>
    <n v="3290369"/>
    <n v="19915"/>
    <s v="10B"/>
    <n v="10000000000"/>
    <n v="1.9914999999999999E-6"/>
    <n v="160"/>
    <x v="4"/>
    <n v="0"/>
    <n v="0"/>
    <x v="4"/>
    <n v="0"/>
    <n v="2.9999999999999997E-4"/>
    <n v="2.9999999999999997E-4"/>
    <n v="2.9999999999999997E-4"/>
    <n v="0"/>
  </r>
  <r>
    <x v="160"/>
    <x v="160"/>
    <n v="3.7000000000000002E-3"/>
    <n v="7.4000000000000003E-3"/>
    <n v="3283841"/>
    <n v="123380"/>
    <s v="888.88M"/>
    <n v="888880000"/>
    <n v="1.3880388803888039E-4"/>
    <n v="161"/>
    <x v="4"/>
    <n v="0.17760000000000001"/>
    <n v="1.2432000000000001"/>
    <x v="4"/>
    <n v="0.47606666666666669"/>
    <n v="3.6997262202597011E-3"/>
    <n v="3.7065828912147976E-3"/>
    <n v="3.6545664301404937E-3"/>
    <n v="2.7377974029909116E-7"/>
  </r>
  <r>
    <x v="161"/>
    <x v="161"/>
    <n v="5.0000000000000001E-3"/>
    <n v="1.6999999999999999E-3"/>
    <n v="2780822"/>
    <n v="492884"/>
    <s v="553.85M"/>
    <n v="553850000"/>
    <n v="8.8992326442177488E-4"/>
    <n v="162"/>
    <x v="4"/>
    <n v="4.0799999999999996E-2"/>
    <n v="0.28559999999999997"/>
    <x v="4"/>
    <n v="0.10936666666666665"/>
    <n v="4.9999150014449758E-3"/>
    <n v="5.0020408326597252E-3"/>
    <n v="4.9857606675335247E-3"/>
    <n v="8.4998555024279332E-8"/>
  </r>
  <r>
    <x v="162"/>
    <x v="162"/>
    <n v="3.5000000000000001E-3"/>
    <n v="3.2000000000000002E-3"/>
    <n v="2775444"/>
    <n v="78498"/>
    <s v="787M"/>
    <n v="787000000"/>
    <n v="9.9743329097839892E-5"/>
    <n v="163"/>
    <x v="4"/>
    <n v="7.6800000000000007E-2"/>
    <n v="0.53760000000000008"/>
    <x v="4"/>
    <n v="0.20586666666666667"/>
    <n v="3.4998880035838854E-3"/>
    <n v="3.5026900659706657E-3"/>
    <n v="3.4812846139155897E-3"/>
    <n v="1.1199641611467012E-7"/>
  </r>
  <r>
    <x v="163"/>
    <x v="163"/>
    <n v="5.7000000000000002E-3"/>
    <n v="4.1000000000000003E-3"/>
    <n v="2752249"/>
    <n v="248901"/>
    <s v="483.88M"/>
    <n v="483880000"/>
    <n v="5.1438579813176816E-4"/>
    <n v="164"/>
    <x v="4"/>
    <n v="9.8400000000000015E-2"/>
    <n v="0.68880000000000008"/>
    <x v="4"/>
    <n v="0.2637666666666667"/>
    <n v="5.6997663095813078E-3"/>
    <n v="5.7056143244953034E-3"/>
    <n v="5.6610069838949322E-3"/>
    <n v="2.3369041869236024E-7"/>
  </r>
  <r>
    <x v="164"/>
    <x v="164"/>
    <n v="2.63"/>
    <n v="1.66E-2"/>
    <n v="2740226"/>
    <n v="650212"/>
    <s v="1.04M"/>
    <n v="1040000"/>
    <n v="0.62520384615384617"/>
    <n v="165"/>
    <x v="2"/>
    <n v="0.39839999999999998"/>
    <n v="2.7887999999999997"/>
    <x v="1"/>
    <n v="1.0679333333333332"/>
    <n v="2.6295634924602513"/>
    <n v="2.6405198310067308"/>
    <n v="2.5586445215821181"/>
    <n v="4.3650753974855405E-4"/>
  </r>
  <r>
    <x v="165"/>
    <x v="165"/>
    <n v="7.22E-2"/>
    <n v="7.1999999999999998E-3"/>
    <n v="2725328"/>
    <n v="225992"/>
    <s v="37.72M"/>
    <n v="37720000"/>
    <n v="5.9913043478260868E-3"/>
    <n v="166"/>
    <x v="4"/>
    <n v="0.17280000000000001"/>
    <n v="1.2096"/>
    <x v="2"/>
    <n v="0.4632"/>
    <n v="7.2194801974257844E-2"/>
    <n v="7.2324977561225801E-2"/>
    <n v="7.1337106361451866E-2"/>
    <n v="5.1980257421563314E-6"/>
  </r>
  <r>
    <x v="166"/>
    <x v="166"/>
    <n v="2.7000000000000001E-3"/>
    <n v="3.3E-3"/>
    <n v="2721575"/>
    <n v="9317"/>
    <s v="993.5M"/>
    <n v="993500000"/>
    <n v="9.377956718671364E-6"/>
    <n v="167"/>
    <x v="4"/>
    <n v="7.9199999999999993E-2"/>
    <n v="0.5544"/>
    <x v="4"/>
    <n v="0.21230000000000002"/>
    <n v="2.6999109029402033E-3"/>
    <n v="2.7021400949552047E-3"/>
    <n v="2.6851137294837423E-3"/>
    <n v="8.909705979682353E-8"/>
  </r>
  <r>
    <x v="167"/>
    <x v="167"/>
    <n v="0.33800000000000002"/>
    <n v="1.6199999999999999E-2"/>
    <n v="2718841"/>
    <n v="93501"/>
    <s v="8.04M"/>
    <n v="8039999.9999999991"/>
    <n v="1.16294776119403E-2"/>
    <n v="168"/>
    <x v="4"/>
    <n v="0.38879999999999998"/>
    <n v="2.7216"/>
    <x v="2"/>
    <n v="1.0422"/>
    <n v="0.33794525286903526"/>
    <n v="0.33931927333472545"/>
    <n v="0.32904471892961173"/>
    <n v="5.4747130964760693E-5"/>
  </r>
  <r>
    <x v="168"/>
    <x v="168"/>
    <n v="8.8499999999999995E-2"/>
    <n v="8.9999999999999998E-4"/>
    <n v="2717949"/>
    <n v="86410"/>
    <s v="320.72T"/>
    <n v="320720000000000"/>
    <n v="2.6942504365178351E-10"/>
    <n v="169"/>
    <x v="4"/>
    <n v="2.1600000000000001E-2"/>
    <n v="0.1512"/>
    <x v="2"/>
    <n v="5.79E-2"/>
    <n v="8.8499203507168431E-2"/>
    <n v="8.8519120129948059E-2"/>
    <n v="8.8366390018292343E-2"/>
    <n v="7.9649283156457695E-7"/>
  </r>
  <r>
    <x v="169"/>
    <x v="169"/>
    <n v="1.7899999999999999E-2"/>
    <n v="6.4000000000000003E-3"/>
    <n v="2715332"/>
    <n v="475091"/>
    <s v="151.66M"/>
    <n v="151660000"/>
    <n v="3.1326058288276407E-3"/>
    <n v="170"/>
    <x v="4"/>
    <n v="0.15360000000000001"/>
    <n v="1.0752000000000002"/>
    <x v="4"/>
    <n v="0.41173333333333334"/>
    <n v="1.7898854473313706E-2"/>
    <n v="1.7927536696365615E-2"/>
    <n v="1.7709586525675929E-2"/>
    <n v="1.1455266862928082E-6"/>
  </r>
  <r>
    <x v="170"/>
    <x v="170"/>
    <n v="5.5399999999999998E-2"/>
    <n v="1.4E-3"/>
    <n v="2203902"/>
    <n v="537558"/>
    <s v="409.5B"/>
    <n v="409500000000"/>
    <n v="1.3127179487179488E-6"/>
    <n v="171"/>
    <x v="4"/>
    <n v="3.3599999999999998E-2"/>
    <n v="0.23519999999999999"/>
    <x v="2"/>
    <n v="9.006666666666667E-2"/>
    <n v="5.5399224410858247E-2"/>
    <n v="5.5418620656540594E-2"/>
    <n v="5.5270004948361456E-2"/>
    <n v="7.7558914175074323E-7"/>
  </r>
  <r>
    <x v="171"/>
    <x v="171"/>
    <n v="3.1099999999999999E-2"/>
    <n v="1.2999999999999999E-3"/>
    <n v="2196829"/>
    <n v="181224"/>
    <s v="70.59M"/>
    <n v="70590000"/>
    <n v="2.5672758181045476E-3"/>
    <n v="172"/>
    <x v="4"/>
    <n v="3.1199999999999999E-2"/>
    <n v="0.21839999999999998"/>
    <x v="4"/>
    <n v="8.3633333333333337E-2"/>
    <n v="3.109959570525583E-2"/>
    <n v="3.1109706228343241E-2"/>
    <n v="3.1032225619247563E-2"/>
    <n v="4.0429474416903144E-7"/>
  </r>
  <r>
    <x v="172"/>
    <x v="172"/>
    <n v="5.7000000000000002E-3"/>
    <n v="2.3E-3"/>
    <n v="2192711"/>
    <n v="55232"/>
    <s v="382.95M"/>
    <n v="382950000"/>
    <n v="1.4422770596683639E-4"/>
    <n v="174"/>
    <x v="4"/>
    <n v="5.5199999999999999E-2"/>
    <n v="0.38639999999999997"/>
    <x v="4"/>
    <n v="0.14796666666666666"/>
    <n v="5.6998689030152306E-3"/>
    <n v="5.7031481377720506E-3"/>
    <n v="5.6780599762517626E-3"/>
    <n v="1.3109698476961029E-7"/>
  </r>
  <r>
    <x v="173"/>
    <x v="173"/>
    <n v="5.2200000000000003E-2"/>
    <n v="3.3E-3"/>
    <n v="2193844"/>
    <n v="238266"/>
    <s v="1T"/>
    <n v="1000000000000"/>
    <n v="2.38266E-7"/>
    <n v="173"/>
    <x v="4"/>
    <n v="7.9199999999999993E-2"/>
    <n v="0.5544"/>
    <x v="2"/>
    <n v="0.21230000000000002"/>
    <n v="5.2198277456843932E-2"/>
    <n v="5.2241375169133956E-2"/>
    <n v="5.191219877001902E-2"/>
    <n v="1.7225431560713433E-6"/>
  </r>
  <r>
    <x v="174"/>
    <x v="174"/>
    <n v="0.30230000000000001"/>
    <n v="4.1000000000000003E-3"/>
    <n v="2187874"/>
    <n v="49762"/>
    <s v="7.23M"/>
    <n v="7230000"/>
    <n v="6.8827109266943291E-3"/>
    <n v="176"/>
    <x v="4"/>
    <n v="9.8400000000000015E-2"/>
    <n v="0.68880000000000008"/>
    <x v="2"/>
    <n v="0.2637666666666667"/>
    <n v="0.30228760620814549"/>
    <n v="0.302597756192093"/>
    <n v="0.30023200197042771"/>
    <n v="1.2393791854525826E-5"/>
  </r>
  <r>
    <x v="175"/>
    <x v="175"/>
    <n v="3.7999999999999999E-2"/>
    <n v="1.1000000000000001E-3"/>
    <n v="2179537"/>
    <n v="1268"/>
    <s v="57.34M"/>
    <n v="57340000"/>
    <n v="2.2113707708406001E-5"/>
    <n v="177"/>
    <x v="4"/>
    <n v="2.64E-2"/>
    <n v="0.18479999999999999"/>
    <x v="4"/>
    <n v="7.0766666666666658E-2"/>
    <n v="3.7999582004597951E-2"/>
    <n v="3.8010034649147373E-2"/>
    <n v="3.7929905534572109E-2"/>
    <n v="4.1799540204806584E-7"/>
  </r>
  <r>
    <x v="176"/>
    <x v="176"/>
    <n v="8.3599999999999994E-2"/>
    <n v="1.0500000000000001E-2"/>
    <n v="2178852"/>
    <n v="3030"/>
    <s v="599.88T"/>
    <n v="599880000000000"/>
    <n v="5.0510102020404078E-12"/>
    <n v="178"/>
    <x v="4"/>
    <n v="0.252"/>
    <n v="1.764"/>
    <x v="2"/>
    <n v="0.67549999999999999"/>
    <n v="8.3591222921593225E-2"/>
    <n v="8.3811204234671366E-2"/>
    <n v="8.2150858849887959E-2"/>
    <n v="8.777078406768668E-6"/>
  </r>
  <r>
    <x v="177"/>
    <x v="177"/>
    <n v="3.3E-3"/>
    <n v="1.83E-2"/>
    <n v="2188825"/>
    <n v="69711"/>
    <s v="671.09M"/>
    <n v="671090000"/>
    <n v="1.0387727428511824E-4"/>
    <n v="175"/>
    <x v="4"/>
    <n v="0.43920000000000003"/>
    <n v="3.0744000000000002"/>
    <x v="4"/>
    <n v="1.1773"/>
    <n v="3.2993962104934794E-3"/>
    <n v="3.3145575367011914E-3"/>
    <n v="3.2015709041236231E-3"/>
    <n v="6.0378950652055161E-7"/>
  </r>
  <r>
    <x v="178"/>
    <x v="178"/>
    <n v="2.0400000000000001E-2"/>
    <n v="2.9999999999999997E-4"/>
    <n v="1756805"/>
    <n v="90761"/>
    <s v="86.06M"/>
    <n v="86060000"/>
    <n v="1.0546246804554961E-3"/>
    <n v="179"/>
    <x v="4"/>
    <n v="7.1999999999999998E-3"/>
    <n v="5.04E-2"/>
    <x v="4"/>
    <n v="1.9300000000000001E-2"/>
    <n v="2.0399938800183603E-2"/>
    <n v="2.0401468905761215E-2"/>
    <n v="2.0389723579316024E-2"/>
    <n v="6.1199816398654905E-8"/>
  </r>
  <r>
    <x v="179"/>
    <x v="179"/>
    <n v="1.8E-3"/>
    <n v="4.2700000000000002E-2"/>
    <n v="1755788"/>
    <n v="403029"/>
    <s v="999.99M"/>
    <n v="999990000"/>
    <n v="4.0303303033030328E-4"/>
    <n v="180"/>
    <x v="4"/>
    <n v="1.0247999999999999"/>
    <n v="7.1735999999999995"/>
    <x v="4"/>
    <n v="2.747033333333333"/>
    <n v="1.7992317280521217E-3"/>
    <n v="1.8186373960345623E-3"/>
    <n v="1.6795180902759634E-3"/>
    <n v="7.6827194787822822E-7"/>
  </r>
  <r>
    <x v="180"/>
    <x v="180"/>
    <n v="3.3799999999999997E-2"/>
    <n v="7.4000000000000003E-3"/>
    <n v="1754868"/>
    <n v="637"/>
    <s v="51.98M"/>
    <n v="51980000"/>
    <n v="1.2254713351288958E-5"/>
    <n v="181"/>
    <x v="4"/>
    <n v="0.17760000000000001"/>
    <n v="1.2432000000000001"/>
    <x v="4"/>
    <n v="0.47606666666666669"/>
    <n v="3.3797498985075107E-2"/>
    <n v="3.3860135600827068E-2"/>
    <n v="3.33849581996618E-2"/>
    <n v="2.5010149248896885E-6"/>
  </r>
  <r>
    <x v="181"/>
    <x v="181"/>
    <n v="1.5900000000000001E-2"/>
    <n v="1.4E-3"/>
    <n v="1752254"/>
    <n v="73794"/>
    <s v="110.37M"/>
    <n v="110370000"/>
    <n v="6.6860559934764884E-4"/>
    <n v="182"/>
    <x v="4"/>
    <n v="3.3599999999999998E-2"/>
    <n v="0.23519999999999999"/>
    <x v="4"/>
    <n v="9.006666666666667E-2"/>
    <n v="1.5899777403116357E-2"/>
    <n v="1.5905344195649738E-2"/>
    <n v="1.5862690950883523E-2"/>
    <n v="2.2259688364431596E-7"/>
  </r>
  <r>
    <x v="182"/>
    <x v="182"/>
    <n v="6.6E-3"/>
    <n v="1.2999999999999999E-3"/>
    <n v="1747236"/>
    <n v="99738"/>
    <s v="266.69M"/>
    <n v="266690000"/>
    <n v="3.7398477633207095E-4"/>
    <n v="183"/>
    <x v="4"/>
    <n v="3.1199999999999999E-2"/>
    <n v="0.21839999999999998"/>
    <x v="4"/>
    <n v="8.3633333333333337E-2"/>
    <n v="6.5999142011153849E-3"/>
    <n v="6.6020598426709135E-3"/>
    <n v="6.5856170124448206E-3"/>
    <n v="8.5798884615073678E-8"/>
  </r>
  <r>
    <x v="183"/>
    <x v="183"/>
    <n v="1.1000000000000001E-3"/>
    <n v="5.7999999999999996E-3"/>
    <n v="1745226"/>
    <n v="57798"/>
    <s v="1.6B"/>
    <n v="1600000000"/>
    <n v="3.6123749999999998E-5"/>
    <n v="184"/>
    <x v="4"/>
    <n v="0.13919999999999999"/>
    <n v="0.97439999999999993"/>
    <x v="4"/>
    <n v="0.37313333333333332"/>
    <n v="1.0999362037001856E-3"/>
    <n v="1.1015333344014868E-3"/>
    <n v="1.089385032245797E-3"/>
    <n v="6.3796299814514873E-8"/>
  </r>
  <r>
    <x v="184"/>
    <x v="184"/>
    <n v="1E-4"/>
    <n v="2.0000000000000001E-4"/>
    <n v="1739324"/>
    <n v="28022"/>
    <s v="29.7B"/>
    <n v="29700000000"/>
    <n v="9.4350168350168355E-7"/>
    <n v="185"/>
    <x v="4"/>
    <n v="4.8000000000000004E-3"/>
    <n v="3.3600000000000005E-2"/>
    <x v="4"/>
    <n v="1.2866666666666667E-2"/>
    <n v="9.9999800000399994E-5"/>
    <n v="1.0000480023041107E-4"/>
    <n v="9.996641128580798E-5"/>
    <n v="1.9999960001115206E-10"/>
  </r>
  <r>
    <x v="185"/>
    <x v="185"/>
    <n v="7.3000000000000001E-3"/>
    <n v="0"/>
    <n v="1738739"/>
    <n v="52"/>
    <s v="239.74M"/>
    <n v="239740000"/>
    <n v="2.1690164344706766E-7"/>
    <n v="186"/>
    <x v="4"/>
    <n v="0"/>
    <n v="0"/>
    <x v="4"/>
    <n v="0"/>
    <n v="7.3000000000000001E-3"/>
    <n v="7.3000000000000001E-3"/>
    <n v="7.3000000000000001E-3"/>
    <n v="0"/>
  </r>
  <r>
    <x v="186"/>
    <x v="186"/>
    <n v="1.9E-3"/>
    <n v="2.5999999999999999E-3"/>
    <n v="1736200"/>
    <n v="105335"/>
    <s v="927.74M"/>
    <n v="927740000"/>
    <n v="1.1353935369823442E-4"/>
    <n v="187"/>
    <x v="4"/>
    <n v="6.2399999999999997E-2"/>
    <n v="0.43679999999999997"/>
    <x v="4"/>
    <n v="0.16726666666666667"/>
    <n v="1.8999506012843663E-3"/>
    <n v="1.9011863402763323E-3"/>
    <n v="1.891736893250283E-3"/>
    <n v="4.939871563365561E-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7">
  <r>
    <x v="0"/>
    <s v="BTC"/>
    <n v="112396.23"/>
    <n v="6.7999999999999996E-3"/>
    <n v="112388.58757604483"/>
    <x v="0"/>
    <x v="0"/>
  </r>
  <r>
    <x v="1"/>
    <s v="ETH"/>
    <n v="4631.6899999999996"/>
    <n v="4.3E-3"/>
    <n v="4631.4908458936261"/>
    <x v="1"/>
    <x v="0"/>
  </r>
  <r>
    <x v="2"/>
    <s v="XRP"/>
    <n v="3.02"/>
    <n v="4.4999999999999997E-3"/>
    <n v="3.0198641061152247"/>
    <x v="2"/>
    <x v="1"/>
  </r>
  <r>
    <x v="3"/>
    <s v="USDT"/>
    <n v="1"/>
    <n v="6.9999999999999999E-4"/>
    <n v="0.9999930000489996"/>
    <x v="3"/>
    <x v="1"/>
  </r>
  <r>
    <x v="4"/>
    <s v="BNB"/>
    <n v="864.91"/>
    <n v="2.3999999999999998E-3"/>
    <n v="864.88924265817616"/>
    <x v="4"/>
    <x v="0"/>
  </r>
  <r>
    <x v="5"/>
    <s v="SOL"/>
    <n v="208.97"/>
    <n v="7.7999999999999996E-3"/>
    <n v="208.95370161127431"/>
    <x v="5"/>
    <x v="0"/>
  </r>
  <r>
    <x v="6"/>
    <s v="USDC"/>
    <n v="0.99970000000000003"/>
    <n v="5.9999999999999995E-4"/>
    <n v="0.99969400183598911"/>
    <x v="6"/>
    <x v="1"/>
  </r>
  <r>
    <x v="7"/>
    <s v="DOGE"/>
    <n v="0.22170000000000001"/>
    <n v="6.7000000000000002E-3"/>
    <n v="0.22168514709514461"/>
    <x v="7"/>
    <x v="1"/>
  </r>
  <r>
    <x v="8"/>
    <s v="TRX"/>
    <n v="0.35020000000000001"/>
    <n v="1E-3"/>
    <n v="0.35019649803501962"/>
    <x v="8"/>
    <x v="1"/>
  </r>
  <r>
    <x v="9"/>
    <s v="ADA"/>
    <n v="0.86929999999999996"/>
    <n v="3.2000000000000002E-3"/>
    <n v="0.86927218329013467"/>
    <x v="9"/>
    <x v="1"/>
  </r>
  <r>
    <x v="10"/>
    <s v="RLUSD"/>
    <n v="0.99950000000000006"/>
    <n v="1E-4"/>
    <n v="0.9994990005009996"/>
    <x v="10"/>
    <x v="1"/>
  </r>
  <r>
    <x v="11"/>
    <s v="ZEC"/>
    <n v="42.45"/>
    <n v="8.0000000000000002E-3"/>
    <n v="42.446604271658266"/>
    <x v="11"/>
    <x v="0"/>
  </r>
  <r>
    <x v="12"/>
    <s v="AB"/>
    <n v="9.1999999999999998E-3"/>
    <n v="3.0000000000000001E-3"/>
    <n v="9.1997240082797513E-3"/>
    <x v="12"/>
    <x v="1"/>
  </r>
  <r>
    <x v="13"/>
    <s v="PYTH"/>
    <n v="0.1171"/>
    <n v="5.1999999999999998E-3"/>
    <n v="0.11709391111662194"/>
    <x v="13"/>
    <x v="1"/>
  </r>
  <r>
    <x v="14"/>
    <s v="BTT"/>
    <n v="6.6699999999999995E-2"/>
    <n v="5.9999999999999995E-4"/>
    <n v="6.6699599802401185E-2"/>
    <x v="14"/>
    <x v="1"/>
  </r>
  <r>
    <x v="15"/>
    <s v="FLOW"/>
    <n v="0.39090000000000003"/>
    <n v="1.5E-3"/>
    <n v="0.39089413658795119"/>
    <x v="15"/>
    <x v="1"/>
  </r>
  <r>
    <x v="16"/>
    <s v="DEXE"/>
    <n v="7.42"/>
    <n v="3.0000000000000001E-3"/>
    <n v="7.4197774066777997"/>
    <x v="16"/>
    <x v="1"/>
  </r>
  <r>
    <x v="17"/>
    <s v="B"/>
    <n v="0.57740000000000002"/>
    <n v="1.1000000000000001E-3"/>
    <n v="0.57739364866986465"/>
    <x v="17"/>
    <x v="1"/>
  </r>
  <r>
    <x v="18"/>
    <s v="WAL"/>
    <n v="0.40489999999999998"/>
    <n v="3.3E-3"/>
    <n v="0.40488663874092157"/>
    <x v="18"/>
    <x v="1"/>
  </r>
  <r>
    <x v="19"/>
    <s v="MANA"/>
    <n v="0.28820000000000001"/>
    <n v="3.8999999999999998E-3"/>
    <n v="0.28818876063833515"/>
    <x v="19"/>
    <x v="1"/>
  </r>
  <r>
    <x v="20"/>
    <s v="FTN"/>
    <n v="4.54"/>
    <n v="4.0000000000000002E-4"/>
    <n v="4.5399818400726399"/>
    <x v="20"/>
    <x v="1"/>
  </r>
  <r>
    <x v="21"/>
    <s v="JLP"/>
    <n v="5.48"/>
    <n v="4.7000000000000002E-3"/>
    <n v="5.4797424521047517"/>
    <x v="21"/>
    <x v="1"/>
  </r>
  <r>
    <x v="22"/>
    <s v="USDf"/>
    <n v="1"/>
    <n v="2.0000000000000001E-4"/>
    <n v="0.99999800000399997"/>
    <x v="22"/>
    <x v="1"/>
  </r>
  <r>
    <x v="23"/>
    <s v="LION"/>
    <n v="2.4E-2"/>
    <n v="2.2000000000000001E-3"/>
    <n v="2.3999472011615747E-2"/>
    <x v="23"/>
    <x v="1"/>
  </r>
  <r>
    <x v="24"/>
    <s v="USDY"/>
    <n v="1.1000000000000001"/>
    <n v="1.1000000000000001E-3"/>
    <n v="1.0999879001330986"/>
    <x v="24"/>
    <x v="1"/>
  </r>
  <r>
    <x v="25"/>
    <s v="USD0"/>
    <n v="0.99829999999999997"/>
    <n v="0"/>
    <n v="0.99829999999999997"/>
    <x v="25"/>
    <x v="1"/>
  </r>
  <r>
    <x v="26"/>
    <s v="VSN"/>
    <n v="0.17449999999999999"/>
    <n v="5.8999999999999999E-3"/>
    <n v="0.17448970510739864"/>
    <x v="26"/>
    <x v="1"/>
  </r>
  <r>
    <x v="27"/>
    <s v="BDX"/>
    <n v="7.6300000000000007E-2"/>
    <n v="2.3E-3"/>
    <n v="7.6298245140361765E-2"/>
    <x v="27"/>
    <x v="1"/>
  </r>
  <r>
    <x v="28"/>
    <s v="USDG"/>
    <n v="0.99980000000000002"/>
    <n v="2.9999999999999997E-4"/>
    <n v="0.99979700060899823"/>
    <x v="28"/>
    <x v="1"/>
  </r>
  <r>
    <x v="29"/>
    <s v="ZBU"/>
    <n v="1.94"/>
    <n v="1.6000000000000001E-3"/>
    <n v="1.9399689604966319"/>
    <x v="29"/>
    <x v="1"/>
  </r>
  <r>
    <x v="30"/>
    <s v="WOO"/>
    <n v="7.1400000000000005E-2"/>
    <n v="4.0000000000000002E-4"/>
    <n v="7.1399714401142414E-2"/>
    <x v="30"/>
    <x v="1"/>
  </r>
  <r>
    <x v="31"/>
    <s v="DEUSD"/>
    <n v="0.99950000000000006"/>
    <n v="0"/>
    <n v="0.99950000000000006"/>
    <x v="25"/>
    <x v="1"/>
  </r>
  <r>
    <x v="32"/>
    <s v="YU"/>
    <n v="0.99960000000000004"/>
    <n v="2.0000000000000001E-4"/>
    <n v="0.99959800080399841"/>
    <x v="31"/>
    <x v="1"/>
  </r>
  <r>
    <x v="33"/>
    <s v="POLYX"/>
    <n v="0.13320000000000001"/>
    <n v="4.3E-3"/>
    <n v="0.13319427264627623"/>
    <x v="32"/>
    <x v="1"/>
  </r>
  <r>
    <x v="34"/>
    <s v="ALEO"/>
    <n v="0.27810000000000001"/>
    <n v="1.3100000000000001E-2"/>
    <n v="0.27806357367184897"/>
    <x v="33"/>
    <x v="1"/>
  </r>
  <r>
    <x v="35"/>
    <s v="AUSD"/>
    <n v="0.99970000000000003"/>
    <n v="1E-4"/>
    <n v="0.99969900030099978"/>
    <x v="34"/>
    <x v="1"/>
  </r>
  <r>
    <x v="36"/>
    <s v="BABY"/>
    <n v="4.9599999999999998E-2"/>
    <n v="5.0000000000000001E-3"/>
    <n v="4.9597520123993794E-2"/>
    <x v="35"/>
    <x v="1"/>
  </r>
  <r>
    <x v="37"/>
    <s v="SNT"/>
    <n v="2.6700000000000002E-2"/>
    <n v="5.0000000000000001E-4"/>
    <n v="2.6699866500667496E-2"/>
    <x v="36"/>
    <x v="1"/>
  </r>
  <r>
    <x v="38"/>
    <s v="ENJ"/>
    <n v="6.8099999999999994E-2"/>
    <n v="4.3E-3"/>
    <n v="6.8097071825911473E-2"/>
    <x v="37"/>
    <x v="1"/>
  </r>
  <r>
    <x v="39"/>
    <s v="VANA"/>
    <n v="4.24"/>
    <n v="1.9E-3"/>
    <n v="4.2399194415306107"/>
    <x v="38"/>
    <x v="1"/>
  </r>
  <r>
    <x v="40"/>
    <s v="EDGE"/>
    <n v="0.43259999999999998"/>
    <n v="1.32E-2"/>
    <n v="0.43254290433662756"/>
    <x v="39"/>
    <x v="1"/>
  </r>
  <r>
    <x v="41"/>
    <s v="APTM"/>
    <n v="1.62"/>
    <n v="1E-3"/>
    <n v="1.6199838001619984"/>
    <x v="40"/>
    <x v="1"/>
  </r>
  <r>
    <x v="42"/>
    <s v="LON"/>
    <n v="0.69950000000000001"/>
    <n v="0"/>
    <n v="0.69950000000000001"/>
    <x v="25"/>
    <x v="1"/>
  </r>
  <r>
    <x v="43"/>
    <s v="BIM"/>
    <n v="2.88"/>
    <n v="1.2999999999999999E-3"/>
    <n v="2.8799625604867134"/>
    <x v="41"/>
    <x v="1"/>
  </r>
  <r>
    <x v="44"/>
    <s v="ARDR"/>
    <n v="8.6499999999999994E-2"/>
    <n v="2.0000000000000001E-4"/>
    <n v="8.6499827000345988E-2"/>
    <x v="42"/>
    <x v="1"/>
  </r>
  <r>
    <x v="45"/>
    <s v="AUDIO"/>
    <n v="6.4000000000000001E-2"/>
    <n v="1.9E-3"/>
    <n v="6.3998784023103564E-2"/>
    <x v="43"/>
    <x v="1"/>
  </r>
  <r>
    <x v="46"/>
    <s v="ARK"/>
    <n v="0.45040000000000002"/>
    <n v="5.1999999999999998E-3"/>
    <n v="0.45037658041781831"/>
    <x v="44"/>
    <x v="1"/>
  </r>
  <r>
    <x v="47"/>
    <s v="GOAT"/>
    <n v="8.5699999999999998E-2"/>
    <n v="8.8000000000000005E-3"/>
    <n v="8.56924590636024E-2"/>
    <x v="45"/>
    <x v="1"/>
  </r>
  <r>
    <x v="48"/>
    <s v="BAN"/>
    <n v="8.5400000000000004E-2"/>
    <n v="3.8E-3"/>
    <n v="8.5396754923312918E-2"/>
    <x v="46"/>
    <x v="1"/>
  </r>
  <r>
    <x v="49"/>
    <s v="SOPH"/>
    <n v="3.1399999999999997E-2"/>
    <n v="7.7000000000000002E-3"/>
    <n v="3.139758238615626E-2"/>
    <x v="47"/>
    <x v="1"/>
  </r>
  <r>
    <x v="50"/>
    <s v="MTL"/>
    <n v="0.72919999999999996"/>
    <n v="8.9999999999999998E-4"/>
    <n v="0.72919343725906471"/>
    <x v="48"/>
    <x v="1"/>
  </r>
  <r>
    <x v="51"/>
    <s v="CELR"/>
    <n v="8.0000000000000002E-3"/>
    <n v="5.1999999999999998E-3"/>
    <n v="7.9995840216308765E-3"/>
    <x v="49"/>
    <x v="1"/>
  </r>
  <r>
    <x v="52"/>
    <s v="AL"/>
    <n v="7.9799999999999996E-2"/>
    <n v="6.9999999999999999E-4"/>
    <n v="7.9799441403910168E-2"/>
    <x v="50"/>
    <x v="1"/>
  </r>
  <r>
    <x v="53"/>
    <s v="B3"/>
    <n v="2.8999999999999998E-3"/>
    <n v="8.0000000000000004E-4"/>
    <n v="2.8999768001855982E-3"/>
    <x v="51"/>
    <x v="1"/>
  </r>
  <r>
    <x v="54"/>
    <s v="TORN"/>
    <n v="11.79"/>
    <n v="2.3999999999999998E-3"/>
    <n v="11.789717046790877"/>
    <x v="52"/>
    <x v="0"/>
  </r>
  <r>
    <x v="55"/>
    <s v="ZKJ"/>
    <n v="0.18160000000000001"/>
    <n v="2.0999999999999999E-3"/>
    <n v="0.18159618648008391"/>
    <x v="53"/>
    <x v="1"/>
  </r>
  <r>
    <x v="56"/>
    <s v="AUCTION"/>
    <n v="10.119999999999999"/>
    <n v="2.0999999999999999E-3"/>
    <n v="10.119787484462824"/>
    <x v="54"/>
    <x v="0"/>
  </r>
  <r>
    <x v="57"/>
    <s v="XRD"/>
    <n v="5.1999999999999998E-3"/>
    <n v="1.4E-3"/>
    <n v="5.1999272010191857E-3"/>
    <x v="55"/>
    <x v="1"/>
  </r>
  <r>
    <x v="58"/>
    <s v="GNS"/>
    <n v="2.17"/>
    <n v="3.0999999999999999E-3"/>
    <n v="2.1699327320853055"/>
    <x v="56"/>
    <x v="1"/>
  </r>
  <r>
    <x v="59"/>
    <s v="QRL"/>
    <n v="0.67269999999999996"/>
    <n v="1.2999999999999999E-2"/>
    <n v="0.67261256036715222"/>
    <x v="57"/>
    <x v="1"/>
  </r>
  <r>
    <x v="60"/>
    <s v="XYM"/>
    <n v="7.4000000000000003E-3"/>
    <n v="0"/>
    <n v="7.4000000000000003E-3"/>
    <x v="25"/>
    <x v="1"/>
  </r>
  <r>
    <x v="61"/>
    <s v="DBR"/>
    <n v="2.3599999999999999E-2"/>
    <n v="1.6000000000000001E-3"/>
    <n v="2.3599622406041503E-2"/>
    <x v="58"/>
    <x v="1"/>
  </r>
  <r>
    <x v="62"/>
    <s v="OGN"/>
    <n v="6.7400000000000002E-2"/>
    <n v="1.1900000000000001E-2"/>
    <n v="6.7391980354337841E-2"/>
    <x v="59"/>
    <x v="1"/>
  </r>
  <r>
    <x v="63"/>
    <s v="OLAS"/>
    <n v="0.2525"/>
    <n v="2.3999999999999998E-3"/>
    <n v="0.25249394014543652"/>
    <x v="60"/>
    <x v="1"/>
  </r>
  <r>
    <x v="64"/>
    <s v="REZ"/>
    <n v="1.24E-2"/>
    <n v="5.8999999999999999E-3"/>
    <n v="1.2399268443161852E-2"/>
    <x v="61"/>
    <x v="1"/>
  </r>
  <r>
    <x v="65"/>
    <s v="PEPECOIN"/>
    <n v="0.42049999999999998"/>
    <n v="4.4999999999999997E-3"/>
    <n v="0.42048107835147414"/>
    <x v="62"/>
    <x v="1"/>
  </r>
  <r>
    <x v="66"/>
    <s v="PYR"/>
    <n v="1.01"/>
    <n v="4.0000000000000001E-3"/>
    <n v="1.0099596016159353"/>
    <x v="63"/>
    <x v="1"/>
  </r>
  <r>
    <x v="67"/>
    <s v="MET"/>
    <n v="0.249"/>
    <n v="3.0999999999999999E-3"/>
    <n v="0.2489922812392816"/>
    <x v="64"/>
    <x v="1"/>
  </r>
  <r>
    <x v="68"/>
    <s v="METFI"/>
    <n v="0.1618"/>
    <n v="2.9999999999999997E-4"/>
    <n v="0.1617995146014562"/>
    <x v="65"/>
    <x v="1"/>
  </r>
  <r>
    <x v="69"/>
    <s v="YALA"/>
    <n v="0.1431"/>
    <n v="7.9000000000000008E-3"/>
    <n v="0.14308869599301657"/>
    <x v="66"/>
    <x v="1"/>
  </r>
  <r>
    <x v="70"/>
    <s v="META"/>
    <n v="2.0500000000000001E-2"/>
    <n v="1.1999999999999999E-3"/>
    <n v="2.0499754002951967E-2"/>
    <x v="67"/>
    <x v="1"/>
  </r>
  <r>
    <x v="71"/>
    <s v="ACA"/>
    <n v="3.0099999999999998E-2"/>
    <n v="2.5000000000000001E-3"/>
    <n v="3.0099247518812031E-2"/>
    <x v="68"/>
    <x v="1"/>
  </r>
  <r>
    <x v="72"/>
    <s v="XION"/>
    <n v="0.89870000000000005"/>
    <n v="8.9999999999999993E-3"/>
    <n v="0.89861912427881507"/>
    <x v="69"/>
    <x v="1"/>
  </r>
  <r>
    <x v="73"/>
    <s v="ROAM"/>
    <n v="0.1125"/>
    <n v="6.6E-3"/>
    <n v="0.11249257549001768"/>
    <x v="70"/>
    <x v="1"/>
  </r>
  <r>
    <x v="74"/>
    <s v="FUEL"/>
    <n v="6.1000000000000004E-3"/>
    <n v="1.4E-3"/>
    <n v="6.0999146011955843E-3"/>
    <x v="71"/>
    <x v="1"/>
  </r>
  <r>
    <x v="75"/>
    <s v="AMPL"/>
    <n v="1.23"/>
    <n v="2.0000000000000001E-4"/>
    <n v="1.2299975400049199"/>
    <x v="72"/>
    <x v="1"/>
  </r>
  <r>
    <x v="76"/>
    <s v="ARPA"/>
    <n v="2.2800000000000001E-2"/>
    <n v="1.9E-3"/>
    <n v="2.2799566808230646E-2"/>
    <x v="73"/>
    <x v="1"/>
  </r>
  <r>
    <x v="77"/>
    <s v="FAIR3"/>
    <n v="3.6900000000000002E-2"/>
    <n v="7.1999999999999998E-3"/>
    <n v="3.689734339127583E-2"/>
    <x v="74"/>
    <x v="1"/>
  </r>
  <r>
    <x v="78"/>
    <s v="XPLA"/>
    <n v="3.1899999999999998E-2"/>
    <n v="2.1600000000000001E-2"/>
    <n v="3.1893111088004987E-2"/>
    <x v="75"/>
    <x v="1"/>
  </r>
  <r>
    <x v="79"/>
    <s v="LAT"/>
    <n v="3.8999999999999998E-3"/>
    <n v="1.5900000000000001E-2"/>
    <n v="3.8993799985802256E-3"/>
    <x v="76"/>
    <x v="1"/>
  </r>
  <r>
    <x v="80"/>
    <s v="ETHDYDX"/>
    <n v="0.62219999999999998"/>
    <n v="6.7000000000000002E-3"/>
    <n v="0.62215831539286859"/>
    <x v="77"/>
    <x v="1"/>
  </r>
  <r>
    <x v="81"/>
    <s v="BOB"/>
    <n v="7.6200000000000004E-2"/>
    <n v="3.7000000000000002E-3"/>
    <n v="7.6197180704313944E-2"/>
    <x v="78"/>
    <x v="1"/>
  </r>
  <r>
    <x v="82"/>
    <s v="CLV"/>
    <n v="2.1100000000000001E-2"/>
    <n v="5.0000000000000001E-3"/>
    <n v="2.1098945052747359E-2"/>
    <x v="79"/>
    <x v="1"/>
  </r>
  <r>
    <x v="83"/>
    <s v="KEKIUS"/>
    <n v="2.58E-2"/>
    <n v="1.09E-2"/>
    <n v="2.5797188106496394E-2"/>
    <x v="80"/>
    <x v="1"/>
  </r>
  <r>
    <x v="84"/>
    <s v="ADS"/>
    <n v="0.1085"/>
    <n v="0"/>
    <n v="0.1085"/>
    <x v="25"/>
    <x v="1"/>
  </r>
  <r>
    <x v="85"/>
    <s v="BID"/>
    <n v="9.5600000000000004E-2"/>
    <n v="9.1999999999999998E-3"/>
    <n v="9.5591205609083976E-2"/>
    <x v="81"/>
    <x v="1"/>
  </r>
  <r>
    <x v="86"/>
    <s v="MOBY"/>
    <n v="2.5499999999999998E-2"/>
    <n v="5.9999999999999995E-4"/>
    <n v="2.5499847000917994E-2"/>
    <x v="82"/>
    <x v="1"/>
  </r>
  <r>
    <x v="87"/>
    <s v="AGRS"/>
    <n v="0.85289999999999999"/>
    <n v="1.2999999999999999E-3"/>
    <n v="0.85288891244413823"/>
    <x v="83"/>
    <x v="1"/>
  </r>
  <r>
    <x v="88"/>
    <s v="ZUSD"/>
    <n v="0.99880000000000002"/>
    <n v="2.9999999999999997E-4"/>
    <n v="0.99879700360898926"/>
    <x v="84"/>
    <x v="1"/>
  </r>
  <r>
    <x v="89"/>
    <s v="CTA"/>
    <n v="3.7900000000000003E-2"/>
    <n v="0"/>
    <n v="3.7900000000000003E-2"/>
    <x v="25"/>
    <x v="1"/>
  </r>
  <r>
    <x v="90"/>
    <s v="OMIKAMI"/>
    <n v="0.02"/>
    <n v="2.9999999999999997E-4"/>
    <n v="1.9999940000179999E-2"/>
    <x v="85"/>
    <x v="1"/>
  </r>
  <r>
    <x v="91"/>
    <s v="AIO"/>
    <n v="8.1699999999999995E-2"/>
    <n v="5.1999999999999998E-3"/>
    <n v="8.1695751820905313E-2"/>
    <x v="86"/>
    <x v="1"/>
  </r>
  <r>
    <x v="92"/>
    <s v="GFAL"/>
    <n v="5.4999999999999997E-3"/>
    <n v="1.06E-2"/>
    <n v="5.4994170617914499E-3"/>
    <x v="87"/>
    <x v="1"/>
  </r>
  <r>
    <x v="93"/>
    <s v="MGP"/>
    <n v="3.8899999999999997E-2"/>
    <n v="0"/>
    <n v="3.8899999999999997E-2"/>
    <x v="25"/>
    <x v="1"/>
  </r>
  <r>
    <x v="94"/>
    <s v="EVER"/>
    <n v="9.4000000000000004E-3"/>
    <n v="4.0000000000000002E-4"/>
    <n v="9.3999624001504002E-3"/>
    <x v="88"/>
    <x v="1"/>
  </r>
  <r>
    <x v="95"/>
    <s v="BULLA"/>
    <n v="6.6400000000000001E-2"/>
    <n v="6.9999999999999999E-4"/>
    <n v="6.6399535203253576E-2"/>
    <x v="89"/>
    <x v="1"/>
  </r>
  <r>
    <x v="96"/>
    <s v="SIX"/>
    <n v="2.18E-2"/>
    <n v="7.7000000000000002E-3"/>
    <n v="2.1798321529242246E-2"/>
    <x v="90"/>
    <x v="1"/>
  </r>
  <r>
    <x v="97"/>
    <s v="AIH"/>
    <n v="16.850000000000001"/>
    <n v="5.0000000000000001E-3"/>
    <n v="16.849157542122892"/>
    <x v="91"/>
    <x v="0"/>
  </r>
  <r>
    <x v="98"/>
    <s v="NODE"/>
    <n v="0.1108"/>
    <n v="1.04E-2"/>
    <n v="0.11078847799828816"/>
    <x v="92"/>
    <x v="1"/>
  </r>
  <r>
    <x v="99"/>
    <s v="GYEN"/>
    <n v="7.0000000000000001E-3"/>
    <n v="4.5999999999999999E-3"/>
    <n v="6.9996780148113185E-3"/>
    <x v="93"/>
    <x v="1"/>
  </r>
  <r>
    <x v="100"/>
    <s v="RZR"/>
    <n v="4.0000000000000002E-4"/>
    <n v="1.1000000000000001E-3"/>
    <n v="3.9999560004839947E-4"/>
    <x v="94"/>
    <x v="1"/>
  </r>
  <r>
    <x v="101"/>
    <s v="JYAI"/>
    <n v="2.0000000000000001E-4"/>
    <n v="5.1999999999999998E-3"/>
    <n v="1.999896005407719E-4"/>
    <x v="95"/>
    <x v="1"/>
  </r>
  <r>
    <x v="102"/>
    <s v="PSTAKE"/>
    <n v="3.32E-2"/>
    <n v="0"/>
    <n v="3.32E-2"/>
    <x v="25"/>
    <x v="1"/>
  </r>
  <r>
    <x v="103"/>
    <s v="SUKU"/>
    <n v="2.9899999999999999E-2"/>
    <n v="1E-4"/>
    <n v="2.9899970100029902E-2"/>
    <x v="96"/>
    <x v="1"/>
  </r>
  <r>
    <x v="104"/>
    <s v="VINU"/>
    <n v="7.1599999999999997E-2"/>
    <n v="4.1000000000000003E-3"/>
    <n v="7.1597064520354664E-2"/>
    <x v="97"/>
    <x v="1"/>
  </r>
  <r>
    <x v="105"/>
    <s v="HOSICO"/>
    <n v="1.44E-2"/>
    <n v="1.4E-3"/>
    <n v="1.4399798402822361E-2"/>
    <x v="98"/>
    <x v="1"/>
  </r>
  <r>
    <x v="106"/>
    <s v="ALVA"/>
    <n v="0.1963"/>
    <n v="8.0999999999999996E-3"/>
    <n v="0.19628410098781998"/>
    <x v="99"/>
    <x v="1"/>
  </r>
  <r>
    <x v="107"/>
    <s v="YAFA"/>
    <n v="1.4800000000000001E-2"/>
    <n v="1.1999999999999999E-3"/>
    <n v="1.4799822402131176E-2"/>
    <x v="100"/>
    <x v="1"/>
  </r>
  <r>
    <x v="108"/>
    <s v="IGT"/>
    <n v="4.2999999999999997E-2"/>
    <n v="2.8E-3"/>
    <n v="4.2998796033711054E-2"/>
    <x v="101"/>
    <x v="1"/>
  </r>
  <r>
    <x v="109"/>
    <s v="BSW"/>
    <n v="1.6899999999999998E-2"/>
    <n v="1.0999999999999999E-2"/>
    <n v="1.6898141204467507E-2"/>
    <x v="102"/>
    <x v="1"/>
  </r>
  <r>
    <x v="110"/>
    <s v="PUBLIC"/>
    <n v="5.6399999999999999E-2"/>
    <n v="5.0000000000000001E-4"/>
    <n v="5.6399718001409992E-2"/>
    <x v="103"/>
    <x v="1"/>
  </r>
  <r>
    <x v="111"/>
    <s v="BASEDAI"/>
    <n v="0.32490000000000002"/>
    <n v="4.5999999999999999E-3"/>
    <n v="0.32488505528745681"/>
    <x v="104"/>
    <x v="1"/>
  </r>
  <r>
    <x v="112"/>
    <s v="BELLS"/>
    <n v="0.18329999999999999"/>
    <n v="2.5999999999999999E-2"/>
    <n v="0.18325235438785917"/>
    <x v="105"/>
    <x v="1"/>
  </r>
  <r>
    <x v="113"/>
    <s v="SIGMA"/>
    <n v="1.24E-2"/>
    <n v="1.6400000000000001E-2"/>
    <n v="1.2397966733455713E-2"/>
    <x v="106"/>
    <x v="1"/>
  </r>
  <r>
    <x v="114"/>
    <s v="STUFF"/>
    <n v="4.1999999999999997E-3"/>
    <n v="8.6999999999999994E-3"/>
    <n v="4.1996346317870348E-3"/>
    <x v="107"/>
    <x v="1"/>
  </r>
  <r>
    <x v="115"/>
    <s v="TONIC"/>
    <n v="7.4499999999999997E-2"/>
    <n v="5.1000000000000004E-3"/>
    <n v="7.4496200693764614E-2"/>
    <x v="108"/>
    <x v="1"/>
  </r>
  <r>
    <x v="116"/>
    <s v="PROS"/>
    <n v="0.21590000000000001"/>
    <n v="3.8E-3"/>
    <n v="0.21589179611174777"/>
    <x v="109"/>
    <x v="1"/>
  </r>
  <r>
    <x v="117"/>
    <s v="AKE"/>
    <n v="5.0000000000000001E-4"/>
    <n v="9.1999999999999998E-3"/>
    <n v="4.9995400423161066E-4"/>
    <x v="110"/>
    <x v="1"/>
  </r>
  <r>
    <x v="118"/>
    <s v="USDR"/>
    <n v="0.99929999999999997"/>
    <n v="5.0000000000000001E-4"/>
    <n v="0.99929500352498235"/>
    <x v="111"/>
    <x v="1"/>
  </r>
  <r>
    <x v="119"/>
    <s v="XCP"/>
    <n v="3.38"/>
    <n v="8.9999999999999998E-4"/>
    <n v="3.3799695802737775"/>
    <x v="112"/>
    <x v="1"/>
  </r>
  <r>
    <x v="120"/>
    <s v="SBD"/>
    <n v="0.89400000000000002"/>
    <n v="3.7000000000000002E-3"/>
    <n v="0.89396692322384064"/>
    <x v="113"/>
    <x v="1"/>
  </r>
  <r>
    <x v="121"/>
    <s v="STARTUP"/>
    <n v="8.8000000000000005E-3"/>
    <n v="1.1299999999999999E-2"/>
    <n v="8.7990057123545039E-3"/>
    <x v="114"/>
    <x v="1"/>
  </r>
  <r>
    <x v="122"/>
    <s v="LNQ"/>
    <n v="3.6299999999999999E-2"/>
    <n v="1.4E-3"/>
    <n v="3.6299491807114698E-2"/>
    <x v="115"/>
    <x v="1"/>
  </r>
  <r>
    <x v="123"/>
    <s v="BXX"/>
    <n v="4.5600000000000002E-2"/>
    <n v="2.3999999999999998E-3"/>
    <n v="4.5598905626264973E-2"/>
    <x v="116"/>
    <x v="1"/>
  </r>
  <r>
    <x v="124"/>
    <s v="SWAP"/>
    <n v="8.7099999999999997E-2"/>
    <n v="6.1999999999999998E-3"/>
    <n v="8.7094600134791644E-2"/>
    <x v="117"/>
    <x v="1"/>
  </r>
  <r>
    <x v="125"/>
    <s v="TANSSI"/>
    <n v="3.95E-2"/>
    <n v="4.1000000000000003E-3"/>
    <n v="3.9498380566396783E-2"/>
    <x v="118"/>
    <x v="1"/>
  </r>
  <r>
    <x v="126"/>
    <s v="STRD"/>
    <n v="9.8699999999999996E-2"/>
    <n v="4.3E-3"/>
    <n v="9.8695756082488442E-2"/>
    <x v="119"/>
    <x v="1"/>
  </r>
  <r>
    <x v="127"/>
    <s v="PPC"/>
    <n v="0.29120000000000001"/>
    <n v="4.3E-3"/>
    <n v="0.29118747893840569"/>
    <x v="120"/>
    <x v="1"/>
  </r>
  <r>
    <x v="128"/>
    <s v="FLT"/>
    <n v="3.4700000000000002E-2"/>
    <n v="1.5E-3"/>
    <n v="3.4699479507807378E-2"/>
    <x v="121"/>
    <x v="1"/>
  </r>
  <r>
    <x v="129"/>
    <s v="MPC"/>
    <n v="1.9300000000000001E-2"/>
    <n v="2.0000000000000001E-4"/>
    <n v="1.9299961400077201E-2"/>
    <x v="122"/>
    <x v="1"/>
  </r>
  <r>
    <x v="130"/>
    <s v="PAIN"/>
    <n v="1.38"/>
    <n v="2.8500000000000001E-2"/>
    <n v="1.3796068120585632"/>
    <x v="123"/>
    <x v="1"/>
  </r>
  <r>
    <x v="131"/>
    <s v="P2P"/>
    <n v="2.9999999999999997E-4"/>
    <n v="5.9999999999999995E-4"/>
    <n v="2.9999820001079991E-4"/>
    <x v="124"/>
    <x v="1"/>
  </r>
  <r>
    <x v="132"/>
    <s v="CERE"/>
    <n v="1E-3"/>
    <n v="3.8E-3"/>
    <n v="9.9996200144394508E-4"/>
    <x v="125"/>
    <x v="1"/>
  </r>
  <r>
    <x v="133"/>
    <s v="OVR"/>
    <n v="0.13519999999999999"/>
    <n v="1.8E-3"/>
    <n v="0.13519756644380398"/>
    <x v="126"/>
    <x v="1"/>
  </r>
  <r>
    <x v="134"/>
    <s v="FANC"/>
    <n v="4.8999999999999998E-3"/>
    <n v="1.1999999999999999E-3"/>
    <n v="4.8999412007055916E-3"/>
    <x v="127"/>
    <x v="1"/>
  </r>
  <r>
    <x v="135"/>
    <s v="VELVET"/>
    <n v="6.0499999999999998E-2"/>
    <n v="1.5900000000000001E-2"/>
    <n v="6.0490382029257342E-2"/>
    <x v="128"/>
    <x v="1"/>
  </r>
  <r>
    <x v="136"/>
    <s v="WIBE"/>
    <n v="0.26100000000000001"/>
    <n v="1.1000000000000001E-3"/>
    <n v="0.26099712903158068"/>
    <x v="129"/>
    <x v="1"/>
  </r>
  <r>
    <x v="137"/>
    <s v="ABBC"/>
    <n v="5.8999999999999999E-3"/>
    <n v="1.1000000000000001E-3"/>
    <n v="5.8999351007138923E-3"/>
    <x v="130"/>
    <x v="1"/>
  </r>
  <r>
    <x v="138"/>
    <s v="LCAT"/>
    <n v="1.12E-2"/>
    <n v="2.9399999999999999E-2"/>
    <n v="1.1196708167798667E-2"/>
    <x v="131"/>
    <x v="1"/>
  </r>
  <r>
    <x v="139"/>
    <s v="DEAI"/>
    <n v="5.79E-2"/>
    <n v="8.9999999999999998E-4"/>
    <n v="5.7899478904689862E-2"/>
    <x v="132"/>
    <x v="1"/>
  </r>
  <r>
    <x v="140"/>
    <s v="STAT"/>
    <n v="6.9500000000000006E-2"/>
    <n v="3.2000000000000002E-3"/>
    <n v="6.9497776071165723E-2"/>
    <x v="133"/>
    <x v="1"/>
  </r>
  <r>
    <x v="141"/>
    <s v="STNK"/>
    <n v="9.06"/>
    <n v="1.1900000000000001E-2"/>
    <n v="9.0589219882833945"/>
    <x v="134"/>
    <x v="1"/>
  </r>
  <r>
    <x v="142"/>
    <s v="EPIC"/>
    <n v="0.30370000000000003"/>
    <n v="1.1900000000000001E-2"/>
    <n v="0.30366386400018403"/>
    <x v="135"/>
    <x v="1"/>
  </r>
  <r>
    <x v="143"/>
    <s v="GRIFT"/>
    <n v="5.1999999999999998E-3"/>
    <n v="9.1000000000000004E-3"/>
    <n v="5.1995268430572814E-3"/>
    <x v="136"/>
    <x v="1"/>
  </r>
  <r>
    <x v="144"/>
    <s v="SPARKLET"/>
    <n v="2.4400000000000002E-2"/>
    <n v="2.9999999999999997E-4"/>
    <n v="2.4399926800219601E-2"/>
    <x v="137"/>
    <x v="1"/>
  </r>
  <r>
    <x v="145"/>
    <s v="TROLL"/>
    <n v="8.4400000000000003E-2"/>
    <n v="1.3299999999999999E-2"/>
    <n v="8.438877629275307E-2"/>
    <x v="138"/>
    <x v="1"/>
  </r>
  <r>
    <x v="146"/>
    <s v="XPIN"/>
    <n v="6.9999999999999999E-4"/>
    <n v="3.6900000000000002E-2"/>
    <n v="6.9974179527754253E-4"/>
    <x v="139"/>
    <x v="1"/>
  </r>
  <r>
    <x v="147"/>
    <s v="BEAM"/>
    <n v="2.76E-2"/>
    <n v="1E-3"/>
    <n v="2.7599724002759968E-2"/>
    <x v="140"/>
    <x v="1"/>
  </r>
  <r>
    <x v="148"/>
    <s v="WIKEN"/>
    <n v="3.8999999999999998E-3"/>
    <n v="2.2000000000000001E-3"/>
    <n v="3.8999142018875583E-3"/>
    <x v="141"/>
    <x v="1"/>
  </r>
  <r>
    <x v="149"/>
    <s v="MYST"/>
    <n v="0.20660000000000001"/>
    <n v="9.7999999999999997E-3"/>
    <n v="0.20657975518399199"/>
    <x v="142"/>
    <x v="1"/>
  </r>
  <r>
    <x v="150"/>
    <s v="PZM"/>
    <n v="8.9999999999999998E-4"/>
    <n v="2.9999999999999997E-4"/>
    <n v="8.999973000081E-4"/>
    <x v="143"/>
    <x v="1"/>
  </r>
  <r>
    <x v="151"/>
    <s v="FROG"/>
    <n v="8.0000000000000004E-4"/>
    <n v="6.8999999999999999E-3"/>
    <n v="7.9994480380853722E-4"/>
    <x v="144"/>
    <x v="1"/>
  </r>
  <r>
    <x v="152"/>
    <s v="MSTR"/>
    <n v="0.16200000000000001"/>
    <n v="2.7000000000000001E-3"/>
    <n v="0.16199562611809482"/>
    <x v="145"/>
    <x v="1"/>
  </r>
  <r>
    <x v="153"/>
    <s v="LBL"/>
    <n v="1.1999999999999999E-3"/>
    <n v="5.4000000000000003E-3"/>
    <n v="1.1999352034990109E-3"/>
    <x v="146"/>
    <x v="1"/>
  </r>
  <r>
    <x v="154"/>
    <s v="RCADE"/>
    <n v="4.0000000000000002E-4"/>
    <n v="9.5999999999999992E-3"/>
    <n v="3.9996160368604614E-4"/>
    <x v="147"/>
    <x v="1"/>
  </r>
  <r>
    <x v="155"/>
    <s v="XFI"/>
    <n v="5.3999999999999999E-2"/>
    <n v="1.6000000000000001E-3"/>
    <n v="5.3999136013823779E-2"/>
    <x v="148"/>
    <x v="1"/>
  </r>
  <r>
    <x v="156"/>
    <s v="BOOM"/>
    <n v="1.32E-2"/>
    <n v="1.12E-2"/>
    <n v="1.3198521765562259E-2"/>
    <x v="149"/>
    <x v="1"/>
  </r>
  <r>
    <x v="157"/>
    <s v="IZI"/>
    <n v="4.1999999999999997E-3"/>
    <n v="2.9999999999999997E-4"/>
    <n v="4.1999874000377994E-3"/>
    <x v="150"/>
    <x v="1"/>
  </r>
  <r>
    <x v="158"/>
    <s v="PUSH"/>
    <n v="3.6499999999999998E-2"/>
    <n v="2.8999999999999998E-3"/>
    <n v="3.6498941530695606E-2"/>
    <x v="151"/>
    <x v="1"/>
  </r>
  <r>
    <x v="159"/>
    <s v="PATRIOT"/>
    <n v="2.9999999999999997E-4"/>
    <n v="0"/>
    <n v="2.9999999999999997E-4"/>
    <x v="25"/>
    <x v="1"/>
  </r>
  <r>
    <x v="160"/>
    <s v="PANDA"/>
    <n v="3.7000000000000002E-3"/>
    <n v="7.4000000000000003E-3"/>
    <n v="3.6997262202597011E-3"/>
    <x v="152"/>
    <x v="1"/>
  </r>
  <r>
    <x v="161"/>
    <s v="G3"/>
    <n v="5.0000000000000001E-3"/>
    <n v="1.6999999999999999E-3"/>
    <n v="4.9999150014449758E-3"/>
    <x v="153"/>
    <x v="1"/>
  </r>
  <r>
    <x v="162"/>
    <s v="HAROLD"/>
    <n v="3.5000000000000001E-3"/>
    <n v="3.2000000000000002E-3"/>
    <n v="3.4998880035838854E-3"/>
    <x v="154"/>
    <x v="1"/>
  </r>
  <r>
    <x v="163"/>
    <s v="DEOD"/>
    <n v="5.7000000000000002E-3"/>
    <n v="4.1000000000000003E-3"/>
    <n v="5.6997663095813078E-3"/>
    <x v="155"/>
    <x v="1"/>
  </r>
  <r>
    <x v="164"/>
    <s v="LUR"/>
    <n v="2.63"/>
    <n v="1.66E-2"/>
    <n v="2.6295634924602513"/>
    <x v="156"/>
    <x v="1"/>
  </r>
  <r>
    <x v="165"/>
    <s v="CEL"/>
    <n v="7.22E-2"/>
    <n v="7.1999999999999998E-3"/>
    <n v="7.2194801974257844E-2"/>
    <x v="157"/>
    <x v="1"/>
  </r>
  <r>
    <x v="166"/>
    <s v="AIXCB"/>
    <n v="2.7000000000000001E-3"/>
    <n v="3.3E-3"/>
    <n v="2.6999109029402033E-3"/>
    <x v="158"/>
    <x v="1"/>
  </r>
  <r>
    <x v="167"/>
    <s v="CHAT"/>
    <n v="0.33800000000000002"/>
    <n v="1.6199999999999999E-2"/>
    <n v="0.33794525286903526"/>
    <x v="159"/>
    <x v="1"/>
  </r>
  <r>
    <x v="168"/>
    <s v="BABYGROK"/>
    <n v="8.8499999999999995E-2"/>
    <n v="8.9999999999999998E-4"/>
    <n v="8.8499203507168431E-2"/>
    <x v="160"/>
    <x v="1"/>
  </r>
  <r>
    <x v="169"/>
    <s v="ALPACA"/>
    <n v="1.7899999999999999E-2"/>
    <n v="6.4000000000000003E-3"/>
    <n v="1.7898854473313706E-2"/>
    <x v="161"/>
    <x v="1"/>
  </r>
  <r>
    <x v="170"/>
    <s v="NITRO"/>
    <n v="5.5399999999999998E-2"/>
    <n v="1.4E-3"/>
    <n v="5.5399224410858247E-2"/>
    <x v="162"/>
    <x v="1"/>
  </r>
  <r>
    <x v="171"/>
    <s v="MDAO"/>
    <n v="3.1099999999999999E-2"/>
    <n v="1.2999999999999999E-3"/>
    <n v="3.109959570525583E-2"/>
    <x v="163"/>
    <x v="1"/>
  </r>
  <r>
    <x v="172"/>
    <s v="CPH"/>
    <n v="5.7000000000000002E-3"/>
    <n v="2.3E-3"/>
    <n v="5.6998689030152306E-3"/>
    <x v="164"/>
    <x v="1"/>
  </r>
  <r>
    <x v="173"/>
    <s v="NATO"/>
    <n v="5.2200000000000003E-2"/>
    <n v="3.3E-3"/>
    <n v="5.2198277456843932E-2"/>
    <x v="165"/>
    <x v="1"/>
  </r>
  <r>
    <x v="174"/>
    <s v="MSIA"/>
    <n v="0.30230000000000001"/>
    <n v="4.1000000000000003E-3"/>
    <n v="0.30228760620814549"/>
    <x v="166"/>
    <x v="1"/>
  </r>
  <r>
    <x v="175"/>
    <s v="CHI"/>
    <n v="3.7999999999999999E-2"/>
    <n v="1.1000000000000001E-3"/>
    <n v="3.7999582004597951E-2"/>
    <x v="167"/>
    <x v="1"/>
  </r>
  <r>
    <x v="176"/>
    <s v="QOM"/>
    <n v="8.3599999999999994E-2"/>
    <n v="1.0500000000000001E-2"/>
    <n v="8.3591222921593225E-2"/>
    <x v="168"/>
    <x v="1"/>
  </r>
  <r>
    <x v="177"/>
    <s v="XZK"/>
    <n v="3.3E-3"/>
    <n v="1.83E-2"/>
    <n v="3.2993962104934794E-3"/>
    <x v="169"/>
    <x v="1"/>
  </r>
  <r>
    <x v="178"/>
    <s v="PLN"/>
    <n v="2.0400000000000001E-2"/>
    <n v="2.9999999999999997E-4"/>
    <n v="2.0399938800183603E-2"/>
    <x v="170"/>
    <x v="1"/>
  </r>
  <r>
    <x v="179"/>
    <s v="HODL"/>
    <n v="1.8E-3"/>
    <n v="4.2700000000000002E-2"/>
    <n v="1.7992317280521217E-3"/>
    <x v="171"/>
    <x v="1"/>
  </r>
  <r>
    <x v="180"/>
    <s v="XTN"/>
    <n v="3.3799999999999997E-2"/>
    <n v="7.4000000000000003E-3"/>
    <n v="3.3797498985075107E-2"/>
    <x v="172"/>
    <x v="1"/>
  </r>
  <r>
    <x v="181"/>
    <s v="ADM"/>
    <n v="1.5900000000000001E-2"/>
    <n v="1.4E-3"/>
    <n v="1.5899777403116357E-2"/>
    <x v="173"/>
    <x v="1"/>
  </r>
  <r>
    <x v="182"/>
    <s v="QGOV"/>
    <n v="6.6E-3"/>
    <n v="1.2999999999999999E-3"/>
    <n v="6.5999142011153849E-3"/>
    <x v="174"/>
    <x v="1"/>
  </r>
  <r>
    <x v="183"/>
    <s v="CARR"/>
    <n v="1.1000000000000001E-3"/>
    <n v="5.7999999999999996E-3"/>
    <n v="1.0999362037001856E-3"/>
    <x v="175"/>
    <x v="1"/>
  </r>
  <r>
    <x v="184"/>
    <s v="JAM"/>
    <n v="1E-4"/>
    <n v="2.0000000000000001E-4"/>
    <n v="9.9999800000399994E-5"/>
    <x v="176"/>
    <x v="1"/>
  </r>
  <r>
    <x v="185"/>
    <s v="DIP"/>
    <n v="7.3000000000000001E-3"/>
    <n v="0"/>
    <n v="7.3000000000000001E-3"/>
    <x v="25"/>
    <x v="1"/>
  </r>
  <r>
    <x v="186"/>
    <s v="IVPAY"/>
    <n v="1.9E-3"/>
    <n v="2.5999999999999999E-3"/>
    <n v="1.8999506012843663E-3"/>
    <x v="177"/>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7">
  <r>
    <x v="0"/>
    <n v="61196410006"/>
    <x v="0"/>
  </r>
  <r>
    <x v="1"/>
    <n v="43714609700"/>
    <x v="0"/>
  </r>
  <r>
    <x v="2"/>
    <n v="6447508710"/>
    <x v="1"/>
  </r>
  <r>
    <x v="3"/>
    <n v="117252093277"/>
    <x v="1"/>
  </r>
  <r>
    <x v="4"/>
    <n v="2278674127"/>
    <x v="0"/>
  </r>
  <r>
    <x v="5"/>
    <n v="10127054144"/>
    <x v="1"/>
  </r>
  <r>
    <x v="6"/>
    <n v="17027792821"/>
    <x v="0"/>
  </r>
  <r>
    <x v="7"/>
    <n v="1961967012"/>
    <x v="0"/>
  </r>
  <r>
    <x v="8"/>
    <n v="973139421"/>
    <x v="1"/>
  </r>
  <r>
    <x v="9"/>
    <n v="1153461846"/>
    <x v="0"/>
  </r>
  <r>
    <x v="10"/>
    <n v="64711407"/>
    <x v="1"/>
  </r>
  <r>
    <x v="11"/>
    <n v="71132312"/>
    <x v="1"/>
  </r>
  <r>
    <x v="12"/>
    <n v="29038108"/>
    <x v="0"/>
  </r>
  <r>
    <x v="13"/>
    <n v="24411942"/>
    <x v="1"/>
  </r>
  <r>
    <x v="14"/>
    <n v="29706225"/>
    <x v="0"/>
  </r>
  <r>
    <x v="15"/>
    <n v="21684159"/>
    <x v="1"/>
  </r>
  <r>
    <x v="16"/>
    <n v="7491105"/>
    <x v="0"/>
  </r>
  <r>
    <x v="17"/>
    <n v="23722335"/>
    <x v="0"/>
  </r>
  <r>
    <x v="18"/>
    <n v="19083906"/>
    <x v="1"/>
  </r>
  <r>
    <x v="19"/>
    <n v="27296450"/>
    <x v="0"/>
  </r>
  <r>
    <x v="20"/>
    <n v="64466358"/>
    <x v="1"/>
  </r>
  <r>
    <x v="21"/>
    <n v="26985300"/>
    <x v="1"/>
  </r>
  <r>
    <x v="22"/>
    <n v="30789467"/>
    <x v="1"/>
  </r>
  <r>
    <x v="23"/>
    <n v="8289454"/>
    <x v="1"/>
  </r>
  <r>
    <x v="24"/>
    <n v="1338625"/>
    <x v="0"/>
  </r>
  <r>
    <x v="25"/>
    <n v="4463129"/>
    <x v="0"/>
  </r>
  <r>
    <x v="26"/>
    <n v="1377265"/>
    <x v="1"/>
  </r>
  <r>
    <x v="27"/>
    <n v="4396792"/>
    <x v="0"/>
  </r>
  <r>
    <x v="28"/>
    <n v="5715956"/>
    <x v="1"/>
  </r>
  <r>
    <x v="29"/>
    <n v="325843"/>
    <x v="1"/>
  </r>
  <r>
    <x v="30"/>
    <n v="6721454"/>
    <x v="1"/>
  </r>
  <r>
    <x v="31"/>
    <n v="343471"/>
    <x v="0"/>
  </r>
  <r>
    <x v="32"/>
    <n v="1092882"/>
    <x v="1"/>
  </r>
  <r>
    <x v="33"/>
    <n v="2531201"/>
    <x v="1"/>
  </r>
  <r>
    <x v="34"/>
    <n v="7930906"/>
    <x v="0"/>
  </r>
  <r>
    <x v="35"/>
    <n v="8432086"/>
    <x v="0"/>
  </r>
  <r>
    <x v="36"/>
    <n v="10778520"/>
    <x v="0"/>
  </r>
  <r>
    <x v="37"/>
    <n v="10487502"/>
    <x v="1"/>
  </r>
  <r>
    <x v="38"/>
    <n v="11344790"/>
    <x v="0"/>
  </r>
  <r>
    <x v="39"/>
    <n v="9341488"/>
    <x v="1"/>
  </r>
  <r>
    <x v="40"/>
    <n v="9141404"/>
    <x v="0"/>
  </r>
  <r>
    <x v="41"/>
    <n v="9108166"/>
    <x v="0"/>
  </r>
  <r>
    <x v="42"/>
    <n v="24699"/>
    <x v="1"/>
  </r>
  <r>
    <x v="43"/>
    <n v="295825"/>
    <x v="0"/>
  </r>
  <r>
    <x v="44"/>
    <n v="4522686"/>
    <x v="0"/>
  </r>
  <r>
    <x v="45"/>
    <n v="6787116"/>
    <x v="0"/>
  </r>
  <r>
    <x v="46"/>
    <n v="4342188"/>
    <x v="0"/>
  </r>
  <r>
    <x v="47"/>
    <n v="14947172"/>
    <x v="1"/>
  </r>
  <r>
    <x v="48"/>
    <n v="10238715"/>
    <x v="0"/>
  </r>
  <r>
    <x v="49"/>
    <n v="13787251"/>
    <x v="1"/>
  </r>
  <r>
    <x v="50"/>
    <n v="1249114"/>
    <x v="1"/>
  </r>
  <r>
    <x v="51"/>
    <n v="5327551"/>
    <x v="0"/>
  </r>
  <r>
    <x v="52"/>
    <n v="9047350"/>
    <x v="0"/>
  </r>
  <r>
    <x v="53"/>
    <n v="2058149"/>
    <x v="0"/>
  </r>
  <r>
    <x v="54"/>
    <n v="76515"/>
    <x v="1"/>
  </r>
  <r>
    <x v="55"/>
    <n v="8267657"/>
    <x v="1"/>
  </r>
  <r>
    <x v="56"/>
    <n v="27805860"/>
    <x v="0"/>
  </r>
  <r>
    <x v="57"/>
    <n v="213098"/>
    <x v="1"/>
  </r>
  <r>
    <x v="58"/>
    <n v="2564140"/>
    <x v="1"/>
  </r>
  <r>
    <x v="59"/>
    <n v="35491"/>
    <x v="1"/>
  </r>
  <r>
    <x v="60"/>
    <n v="758766"/>
    <x v="1"/>
  </r>
  <r>
    <x v="61"/>
    <n v="10853972"/>
    <x v="0"/>
  </r>
  <r>
    <x v="62"/>
    <n v="19016000"/>
    <x v="0"/>
  </r>
  <r>
    <x v="63"/>
    <n v="339268"/>
    <x v="0"/>
  </r>
  <r>
    <x v="64"/>
    <n v="10189722"/>
    <x v="1"/>
  </r>
  <r>
    <x v="65"/>
    <n v="401821"/>
    <x v="1"/>
  </r>
  <r>
    <x v="66"/>
    <n v="10068683"/>
    <x v="1"/>
  </r>
  <r>
    <x v="67"/>
    <n v="68082352"/>
    <x v="1"/>
  </r>
  <r>
    <x v="68"/>
    <n v="121069"/>
    <x v="1"/>
  </r>
  <r>
    <x v="69"/>
    <n v="7857060"/>
    <x v="1"/>
  </r>
  <r>
    <x v="70"/>
    <n v="129282"/>
    <x v="1"/>
  </r>
  <r>
    <x v="71"/>
    <n v="5538677"/>
    <x v="0"/>
  </r>
  <r>
    <x v="72"/>
    <n v="9778739"/>
    <x v="1"/>
  </r>
  <r>
    <x v="73"/>
    <n v="50371789"/>
    <x v="1"/>
  </r>
  <r>
    <x v="74"/>
    <n v="1391859"/>
    <x v="1"/>
  </r>
  <r>
    <x v="75"/>
    <n v="75600"/>
    <x v="0"/>
  </r>
  <r>
    <x v="76"/>
    <n v="18844509"/>
    <x v="0"/>
  </r>
  <r>
    <x v="77"/>
    <n v="8324722"/>
    <x v="1"/>
  </r>
  <r>
    <x v="78"/>
    <n v="467706"/>
    <x v="1"/>
  </r>
  <r>
    <x v="79"/>
    <n v="6727701"/>
    <x v="1"/>
  </r>
  <r>
    <x v="80"/>
    <n v="9982050"/>
    <x v="0"/>
  </r>
  <r>
    <x v="81"/>
    <n v="11510400"/>
    <x v="0"/>
  </r>
  <r>
    <x v="82"/>
    <n v="1225263"/>
    <x v="0"/>
  </r>
  <r>
    <x v="83"/>
    <n v="2642277"/>
    <x v="1"/>
  </r>
  <r>
    <x v="84"/>
    <n v="64349"/>
    <x v="0"/>
  </r>
  <r>
    <x v="85"/>
    <n v="1704625"/>
    <x v="0"/>
  </r>
  <r>
    <x v="86"/>
    <n v="5524554"/>
    <x v="1"/>
  </r>
  <r>
    <x v="87"/>
    <n v="43405"/>
    <x v="0"/>
  </r>
  <r>
    <x v="88"/>
    <n v="228239"/>
    <x v="1"/>
  </r>
  <r>
    <x v="89"/>
    <n v="706323"/>
    <x v="0"/>
  </r>
  <r>
    <x v="90"/>
    <n v="357326"/>
    <x v="0"/>
  </r>
  <r>
    <x v="91"/>
    <n v="5622803"/>
    <x v="0"/>
  </r>
  <r>
    <x v="92"/>
    <n v="181555"/>
    <x v="1"/>
  </r>
  <r>
    <x v="93"/>
    <n v="1002"/>
    <x v="1"/>
  </r>
  <r>
    <x v="94"/>
    <n v="189918"/>
    <x v="0"/>
  </r>
  <r>
    <x v="95"/>
    <n v="4765140"/>
    <x v="0"/>
  </r>
  <r>
    <x v="96"/>
    <n v="4492892"/>
    <x v="1"/>
  </r>
  <r>
    <x v="97"/>
    <n v="119734"/>
    <x v="0"/>
  </r>
  <r>
    <x v="98"/>
    <n v="32485149"/>
    <x v="1"/>
  </r>
  <r>
    <x v="99"/>
    <n v="138"/>
    <x v="1"/>
  </r>
  <r>
    <x v="100"/>
    <n v="499518"/>
    <x v="1"/>
  </r>
  <r>
    <x v="101"/>
    <n v="6112676"/>
    <x v="1"/>
  </r>
  <r>
    <x v="102"/>
    <n v="4251361"/>
    <x v="1"/>
  </r>
  <r>
    <x v="103"/>
    <n v="316134"/>
    <x v="1"/>
  </r>
  <r>
    <x v="104"/>
    <n v="542805"/>
    <x v="1"/>
  </r>
  <r>
    <x v="105"/>
    <n v="1406872"/>
    <x v="1"/>
  </r>
  <r>
    <x v="106"/>
    <n v="686075"/>
    <x v="0"/>
  </r>
  <r>
    <x v="107"/>
    <n v="34241"/>
    <x v="1"/>
  </r>
  <r>
    <x v="108"/>
    <n v="810252"/>
    <x v="0"/>
  </r>
  <r>
    <x v="109"/>
    <n v="8799764"/>
    <x v="0"/>
  </r>
  <r>
    <x v="110"/>
    <n v="6405267"/>
    <x v="1"/>
  </r>
  <r>
    <x v="111"/>
    <n v="25910"/>
    <x v="0"/>
  </r>
  <r>
    <x v="112"/>
    <n v="95241"/>
    <x v="0"/>
  </r>
  <r>
    <x v="113"/>
    <n v="1157910"/>
    <x v="1"/>
  </r>
  <r>
    <x v="114"/>
    <n v="19472"/>
    <x v="1"/>
  </r>
  <r>
    <x v="115"/>
    <n v="233918"/>
    <x v="1"/>
  </r>
  <r>
    <x v="116"/>
    <n v="105278"/>
    <x v="1"/>
  </r>
  <r>
    <x v="117"/>
    <n v="8599503"/>
    <x v="0"/>
  </r>
  <r>
    <x v="118"/>
    <n v="50214459"/>
    <x v="1"/>
  </r>
  <r>
    <x v="119"/>
    <n v="10"/>
    <x v="0"/>
  </r>
  <r>
    <x v="120"/>
    <n v="1784357"/>
    <x v="1"/>
  </r>
  <r>
    <x v="121"/>
    <n v="1018996"/>
    <x v="1"/>
  </r>
  <r>
    <x v="122"/>
    <n v="849245"/>
    <x v="1"/>
  </r>
  <r>
    <x v="123"/>
    <n v="31161"/>
    <x v="0"/>
  </r>
  <r>
    <x v="124"/>
    <n v="260752"/>
    <x v="1"/>
  </r>
  <r>
    <x v="125"/>
    <n v="7734230"/>
    <x v="1"/>
  </r>
  <r>
    <x v="126"/>
    <n v="229548"/>
    <x v="1"/>
  </r>
  <r>
    <x v="127"/>
    <n v="65907"/>
    <x v="1"/>
  </r>
  <r>
    <x v="128"/>
    <n v="146941"/>
    <x v="1"/>
  </r>
  <r>
    <x v="129"/>
    <n v="6780"/>
    <x v="1"/>
  </r>
  <r>
    <x v="130"/>
    <n v="425962"/>
    <x v="1"/>
  </r>
  <r>
    <x v="131"/>
    <n v="87808"/>
    <x v="1"/>
  </r>
  <r>
    <x v="132"/>
    <n v="187469"/>
    <x v="0"/>
  </r>
  <r>
    <x v="133"/>
    <n v="340331"/>
    <x v="0"/>
  </r>
  <r>
    <x v="134"/>
    <n v="321408"/>
    <x v="1"/>
  </r>
  <r>
    <x v="135"/>
    <n v="4164781"/>
    <x v="1"/>
  </r>
  <r>
    <x v="136"/>
    <n v="3754649"/>
    <x v="1"/>
  </r>
  <r>
    <x v="137"/>
    <n v="59834"/>
    <x v="0"/>
  </r>
  <r>
    <x v="138"/>
    <n v="30255"/>
    <x v="1"/>
  </r>
  <r>
    <x v="139"/>
    <n v="1013267"/>
    <x v="1"/>
  </r>
  <r>
    <x v="140"/>
    <n v="846710"/>
    <x v="1"/>
  </r>
  <r>
    <x v="141"/>
    <n v="27503"/>
    <x v="1"/>
  </r>
  <r>
    <x v="142"/>
    <n v="64548"/>
    <x v="0"/>
  </r>
  <r>
    <x v="143"/>
    <n v="2582102"/>
    <x v="0"/>
  </r>
  <r>
    <x v="144"/>
    <n v="289972"/>
    <x v="0"/>
  </r>
  <r>
    <x v="145"/>
    <n v="369327"/>
    <x v="1"/>
  </r>
  <r>
    <x v="146"/>
    <n v="10230683"/>
    <x v="1"/>
  </r>
  <r>
    <x v="147"/>
    <n v="96917"/>
    <x v="0"/>
  </r>
  <r>
    <x v="148"/>
    <n v="8766"/>
    <x v="1"/>
  </r>
  <r>
    <x v="149"/>
    <n v="106213"/>
    <x v="1"/>
  </r>
  <r>
    <x v="150"/>
    <n v="847"/>
    <x v="1"/>
  </r>
  <r>
    <x v="151"/>
    <n v="355240"/>
    <x v="1"/>
  </r>
  <r>
    <x v="152"/>
    <n v="331094"/>
    <x v="1"/>
  </r>
  <r>
    <x v="153"/>
    <n v="18420"/>
    <x v="1"/>
  </r>
  <r>
    <x v="154"/>
    <n v="1613699"/>
    <x v="1"/>
  </r>
  <r>
    <x v="155"/>
    <n v="875780"/>
    <x v="0"/>
  </r>
  <r>
    <x v="156"/>
    <n v="2394175"/>
    <x v="0"/>
  </r>
  <r>
    <x v="157"/>
    <n v="95553"/>
    <x v="0"/>
  </r>
  <r>
    <x v="158"/>
    <n v="1991360"/>
    <x v="1"/>
  </r>
  <r>
    <x v="159"/>
    <n v="19915"/>
    <x v="1"/>
  </r>
  <r>
    <x v="160"/>
    <n v="123380"/>
    <x v="1"/>
  </r>
  <r>
    <x v="161"/>
    <n v="492884"/>
    <x v="1"/>
  </r>
  <r>
    <x v="162"/>
    <n v="78498"/>
    <x v="1"/>
  </r>
  <r>
    <x v="163"/>
    <n v="248901"/>
    <x v="0"/>
  </r>
  <r>
    <x v="164"/>
    <n v="650212"/>
    <x v="1"/>
  </r>
  <r>
    <x v="165"/>
    <n v="225992"/>
    <x v="0"/>
  </r>
  <r>
    <x v="166"/>
    <n v="9317"/>
    <x v="0"/>
  </r>
  <r>
    <x v="167"/>
    <n v="93501"/>
    <x v="1"/>
  </r>
  <r>
    <x v="168"/>
    <n v="86410"/>
    <x v="0"/>
  </r>
  <r>
    <x v="169"/>
    <n v="475091"/>
    <x v="0"/>
  </r>
  <r>
    <x v="170"/>
    <n v="537558"/>
    <x v="1"/>
  </r>
  <r>
    <x v="171"/>
    <n v="181224"/>
    <x v="1"/>
  </r>
  <r>
    <x v="172"/>
    <n v="55232"/>
    <x v="0"/>
  </r>
  <r>
    <x v="173"/>
    <n v="238266"/>
    <x v="1"/>
  </r>
  <r>
    <x v="174"/>
    <n v="49762"/>
    <x v="1"/>
  </r>
  <r>
    <x v="175"/>
    <n v="1268"/>
    <x v="1"/>
  </r>
  <r>
    <x v="176"/>
    <n v="3030"/>
    <x v="1"/>
  </r>
  <r>
    <x v="177"/>
    <n v="69711"/>
    <x v="0"/>
  </r>
  <r>
    <x v="178"/>
    <n v="90761"/>
    <x v="1"/>
  </r>
  <r>
    <x v="179"/>
    <n v="403029"/>
    <x v="1"/>
  </r>
  <r>
    <x v="180"/>
    <n v="637"/>
    <x v="1"/>
  </r>
  <r>
    <x v="181"/>
    <n v="73794"/>
    <x v="0"/>
  </r>
  <r>
    <x v="182"/>
    <n v="99738"/>
    <x v="1"/>
  </r>
  <r>
    <x v="183"/>
    <n v="57798"/>
    <x v="0"/>
  </r>
  <r>
    <x v="184"/>
    <n v="28022"/>
    <x v="1"/>
  </r>
  <r>
    <x v="185"/>
    <n v="52"/>
    <x v="0"/>
  </r>
  <r>
    <x v="186"/>
    <n v="105335"/>
    <x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7">
  <r>
    <x v="0"/>
    <n v="112396.23"/>
    <n v="61196410006"/>
    <x v="0"/>
  </r>
  <r>
    <x v="1"/>
    <n v="4631.6899999999996"/>
    <n v="43714609700"/>
    <x v="0"/>
  </r>
  <r>
    <x v="2"/>
    <n v="3.02"/>
    <n v="6447508710"/>
    <x v="1"/>
  </r>
  <r>
    <x v="3"/>
    <n v="1"/>
    <n v="117252093277"/>
    <x v="1"/>
  </r>
  <r>
    <x v="4"/>
    <n v="864.91"/>
    <n v="2278674127"/>
    <x v="0"/>
  </r>
  <r>
    <x v="5"/>
    <n v="208.97"/>
    <n v="10127054144"/>
    <x v="0"/>
  </r>
  <r>
    <x v="6"/>
    <n v="0.99970000000000003"/>
    <n v="17027792821"/>
    <x v="1"/>
  </r>
  <r>
    <x v="7"/>
    <n v="0.22170000000000001"/>
    <n v="1961967012"/>
    <x v="1"/>
  </r>
  <r>
    <x v="8"/>
    <n v="0.35020000000000001"/>
    <n v="973139421"/>
    <x v="1"/>
  </r>
  <r>
    <x v="9"/>
    <n v="0.86929999999999996"/>
    <n v="1153461846"/>
    <x v="1"/>
  </r>
  <r>
    <x v="10"/>
    <n v="0.99950000000000006"/>
    <n v="64711407"/>
    <x v="1"/>
  </r>
  <r>
    <x v="11"/>
    <n v="42.45"/>
    <n v="71132312"/>
    <x v="1"/>
  </r>
  <r>
    <x v="12"/>
    <n v="9.1999999999999998E-3"/>
    <n v="29038108"/>
    <x v="1"/>
  </r>
  <r>
    <x v="13"/>
    <n v="0.1171"/>
    <n v="24411942"/>
    <x v="1"/>
  </r>
  <r>
    <x v="14"/>
    <n v="6.6699999999999995E-2"/>
    <n v="29706225"/>
    <x v="1"/>
  </r>
  <r>
    <x v="15"/>
    <n v="0.39090000000000003"/>
    <n v="21684159"/>
    <x v="1"/>
  </r>
  <r>
    <x v="16"/>
    <n v="7.42"/>
    <n v="7491105"/>
    <x v="1"/>
  </r>
  <r>
    <x v="17"/>
    <n v="0.57740000000000002"/>
    <n v="23722335"/>
    <x v="1"/>
  </r>
  <r>
    <x v="18"/>
    <n v="0.40489999999999998"/>
    <n v="19083906"/>
    <x v="1"/>
  </r>
  <r>
    <x v="19"/>
    <n v="0.28820000000000001"/>
    <n v="27296450"/>
    <x v="1"/>
  </r>
  <r>
    <x v="20"/>
    <n v="4.54"/>
    <n v="64466358"/>
    <x v="1"/>
  </r>
  <r>
    <x v="21"/>
    <n v="5.48"/>
    <n v="26985300"/>
    <x v="1"/>
  </r>
  <r>
    <x v="22"/>
    <n v="1"/>
    <n v="30789467"/>
    <x v="1"/>
  </r>
  <r>
    <x v="23"/>
    <n v="2.4E-2"/>
    <n v="8289454"/>
    <x v="1"/>
  </r>
  <r>
    <x v="24"/>
    <n v="1.1000000000000001"/>
    <n v="1338625"/>
    <x v="1"/>
  </r>
  <r>
    <x v="25"/>
    <n v="0.99829999999999997"/>
    <n v="4463129"/>
    <x v="1"/>
  </r>
  <r>
    <x v="26"/>
    <n v="0.17449999999999999"/>
    <n v="1377265"/>
    <x v="1"/>
  </r>
  <r>
    <x v="27"/>
    <n v="7.6300000000000007E-2"/>
    <n v="4396792"/>
    <x v="1"/>
  </r>
  <r>
    <x v="28"/>
    <n v="0.99980000000000002"/>
    <n v="5715956"/>
    <x v="1"/>
  </r>
  <r>
    <x v="29"/>
    <n v="1.94"/>
    <n v="325843"/>
    <x v="1"/>
  </r>
  <r>
    <x v="30"/>
    <n v="7.1400000000000005E-2"/>
    <n v="6721454"/>
    <x v="1"/>
  </r>
  <r>
    <x v="31"/>
    <n v="0.99950000000000006"/>
    <n v="343471"/>
    <x v="1"/>
  </r>
  <r>
    <x v="32"/>
    <n v="0.99960000000000004"/>
    <n v="1092882"/>
    <x v="1"/>
  </r>
  <r>
    <x v="33"/>
    <n v="0.13320000000000001"/>
    <n v="2531201"/>
    <x v="1"/>
  </r>
  <r>
    <x v="34"/>
    <n v="0.27810000000000001"/>
    <n v="7930906"/>
    <x v="1"/>
  </r>
  <r>
    <x v="35"/>
    <n v="0.99970000000000003"/>
    <n v="8432086"/>
    <x v="1"/>
  </r>
  <r>
    <x v="36"/>
    <n v="4.9599999999999998E-2"/>
    <n v="10778520"/>
    <x v="1"/>
  </r>
  <r>
    <x v="37"/>
    <n v="2.6700000000000002E-2"/>
    <n v="10487502"/>
    <x v="1"/>
  </r>
  <r>
    <x v="38"/>
    <n v="6.8099999999999994E-2"/>
    <n v="11344790"/>
    <x v="1"/>
  </r>
  <r>
    <x v="39"/>
    <n v="4.24"/>
    <n v="9341488"/>
    <x v="1"/>
  </r>
  <r>
    <x v="40"/>
    <n v="0.43259999999999998"/>
    <n v="9141404"/>
    <x v="1"/>
  </r>
  <r>
    <x v="41"/>
    <n v="1.62"/>
    <n v="9108166"/>
    <x v="1"/>
  </r>
  <r>
    <x v="42"/>
    <n v="0.69950000000000001"/>
    <n v="24699"/>
    <x v="1"/>
  </r>
  <r>
    <x v="43"/>
    <n v="2.88"/>
    <n v="295825"/>
    <x v="1"/>
  </r>
  <r>
    <x v="44"/>
    <n v="8.6499999999999994E-2"/>
    <n v="4522686"/>
    <x v="1"/>
  </r>
  <r>
    <x v="45"/>
    <n v="6.4000000000000001E-2"/>
    <n v="6787116"/>
    <x v="1"/>
  </r>
  <r>
    <x v="46"/>
    <n v="0.45040000000000002"/>
    <n v="4342188"/>
    <x v="1"/>
  </r>
  <r>
    <x v="47"/>
    <n v="8.5699999999999998E-2"/>
    <n v="14947172"/>
    <x v="1"/>
  </r>
  <r>
    <x v="48"/>
    <n v="8.5400000000000004E-2"/>
    <n v="10238715"/>
    <x v="1"/>
  </r>
  <r>
    <x v="49"/>
    <n v="3.1399999999999997E-2"/>
    <n v="13787251"/>
    <x v="1"/>
  </r>
  <r>
    <x v="50"/>
    <n v="0.72919999999999996"/>
    <n v="1249114"/>
    <x v="1"/>
  </r>
  <r>
    <x v="51"/>
    <n v="8.0000000000000002E-3"/>
    <n v="5327551"/>
    <x v="1"/>
  </r>
  <r>
    <x v="52"/>
    <n v="7.9799999999999996E-2"/>
    <n v="9047350"/>
    <x v="1"/>
  </r>
  <r>
    <x v="53"/>
    <n v="2.8999999999999998E-3"/>
    <n v="2058149"/>
    <x v="1"/>
  </r>
  <r>
    <x v="54"/>
    <n v="11.79"/>
    <n v="76515"/>
    <x v="1"/>
  </r>
  <r>
    <x v="55"/>
    <n v="0.18160000000000001"/>
    <n v="8267657"/>
    <x v="1"/>
  </r>
  <r>
    <x v="56"/>
    <n v="10.119999999999999"/>
    <n v="27805860"/>
    <x v="1"/>
  </r>
  <r>
    <x v="57"/>
    <n v="5.1999999999999998E-3"/>
    <n v="213098"/>
    <x v="1"/>
  </r>
  <r>
    <x v="58"/>
    <n v="2.17"/>
    <n v="2564140"/>
    <x v="1"/>
  </r>
  <r>
    <x v="59"/>
    <n v="0.67269999999999996"/>
    <n v="35491"/>
    <x v="1"/>
  </r>
  <r>
    <x v="60"/>
    <n v="7.4000000000000003E-3"/>
    <n v="758766"/>
    <x v="1"/>
  </r>
  <r>
    <x v="61"/>
    <n v="2.3599999999999999E-2"/>
    <n v="10853972"/>
    <x v="1"/>
  </r>
  <r>
    <x v="62"/>
    <n v="6.7400000000000002E-2"/>
    <n v="19016000"/>
    <x v="1"/>
  </r>
  <r>
    <x v="63"/>
    <n v="0.2525"/>
    <n v="339268"/>
    <x v="1"/>
  </r>
  <r>
    <x v="64"/>
    <n v="1.24E-2"/>
    <n v="10189722"/>
    <x v="1"/>
  </r>
  <r>
    <x v="65"/>
    <n v="0.42049999999999998"/>
    <n v="401821"/>
    <x v="1"/>
  </r>
  <r>
    <x v="66"/>
    <n v="1.01"/>
    <n v="10068683"/>
    <x v="1"/>
  </r>
  <r>
    <x v="67"/>
    <n v="0.249"/>
    <n v="68082352"/>
    <x v="1"/>
  </r>
  <r>
    <x v="68"/>
    <n v="0.1618"/>
    <n v="121069"/>
    <x v="1"/>
  </r>
  <r>
    <x v="69"/>
    <n v="0.1431"/>
    <n v="7857060"/>
    <x v="1"/>
  </r>
  <r>
    <x v="70"/>
    <n v="2.0500000000000001E-2"/>
    <n v="129282"/>
    <x v="1"/>
  </r>
  <r>
    <x v="71"/>
    <n v="3.0099999999999998E-2"/>
    <n v="5538677"/>
    <x v="1"/>
  </r>
  <r>
    <x v="72"/>
    <n v="0.89870000000000005"/>
    <n v="9778739"/>
    <x v="1"/>
  </r>
  <r>
    <x v="73"/>
    <n v="0.1125"/>
    <n v="50371789"/>
    <x v="1"/>
  </r>
  <r>
    <x v="74"/>
    <n v="6.1000000000000004E-3"/>
    <n v="1391859"/>
    <x v="1"/>
  </r>
  <r>
    <x v="75"/>
    <n v="1.23"/>
    <n v="75600"/>
    <x v="1"/>
  </r>
  <r>
    <x v="76"/>
    <n v="2.2800000000000001E-2"/>
    <n v="18844509"/>
    <x v="1"/>
  </r>
  <r>
    <x v="77"/>
    <n v="3.6900000000000002E-2"/>
    <n v="8324722"/>
    <x v="1"/>
  </r>
  <r>
    <x v="78"/>
    <n v="3.1899999999999998E-2"/>
    <n v="467706"/>
    <x v="1"/>
  </r>
  <r>
    <x v="79"/>
    <n v="3.8999999999999998E-3"/>
    <n v="6727701"/>
    <x v="1"/>
  </r>
  <r>
    <x v="80"/>
    <n v="0.62219999999999998"/>
    <n v="9982050"/>
    <x v="1"/>
  </r>
  <r>
    <x v="81"/>
    <n v="7.6200000000000004E-2"/>
    <n v="11510400"/>
    <x v="1"/>
  </r>
  <r>
    <x v="82"/>
    <n v="2.1100000000000001E-2"/>
    <n v="1225263"/>
    <x v="1"/>
  </r>
  <r>
    <x v="83"/>
    <n v="2.58E-2"/>
    <n v="2642277"/>
    <x v="1"/>
  </r>
  <r>
    <x v="84"/>
    <n v="0.1085"/>
    <n v="64349"/>
    <x v="1"/>
  </r>
  <r>
    <x v="85"/>
    <n v="9.5600000000000004E-2"/>
    <n v="1704625"/>
    <x v="1"/>
  </r>
  <r>
    <x v="86"/>
    <n v="2.5499999999999998E-2"/>
    <n v="5524554"/>
    <x v="1"/>
  </r>
  <r>
    <x v="87"/>
    <n v="0.85289999999999999"/>
    <n v="43405"/>
    <x v="1"/>
  </r>
  <r>
    <x v="88"/>
    <n v="0.99880000000000002"/>
    <n v="228239"/>
    <x v="1"/>
  </r>
  <r>
    <x v="89"/>
    <n v="3.7900000000000003E-2"/>
    <n v="706323"/>
    <x v="1"/>
  </r>
  <r>
    <x v="90"/>
    <n v="0.02"/>
    <n v="357326"/>
    <x v="1"/>
  </r>
  <r>
    <x v="91"/>
    <n v="8.1699999999999995E-2"/>
    <n v="5622803"/>
    <x v="1"/>
  </r>
  <r>
    <x v="92"/>
    <n v="5.4999999999999997E-3"/>
    <n v="181555"/>
    <x v="1"/>
  </r>
  <r>
    <x v="93"/>
    <n v="3.8899999999999997E-2"/>
    <n v="1002"/>
    <x v="1"/>
  </r>
  <r>
    <x v="94"/>
    <n v="9.4000000000000004E-3"/>
    <n v="189918"/>
    <x v="1"/>
  </r>
  <r>
    <x v="95"/>
    <n v="6.6400000000000001E-2"/>
    <n v="4765140"/>
    <x v="1"/>
  </r>
  <r>
    <x v="96"/>
    <n v="2.18E-2"/>
    <n v="4492892"/>
    <x v="1"/>
  </r>
  <r>
    <x v="97"/>
    <n v="16.850000000000001"/>
    <n v="119734"/>
    <x v="1"/>
  </r>
  <r>
    <x v="98"/>
    <n v="0.1108"/>
    <n v="32485149"/>
    <x v="1"/>
  </r>
  <r>
    <x v="99"/>
    <n v="7.0000000000000001E-3"/>
    <n v="138"/>
    <x v="1"/>
  </r>
  <r>
    <x v="100"/>
    <n v="4.0000000000000002E-4"/>
    <n v="499518"/>
    <x v="1"/>
  </r>
  <r>
    <x v="101"/>
    <n v="2.0000000000000001E-4"/>
    <n v="6112676"/>
    <x v="1"/>
  </r>
  <r>
    <x v="102"/>
    <n v="3.32E-2"/>
    <n v="4251361"/>
    <x v="1"/>
  </r>
  <r>
    <x v="103"/>
    <n v="2.9899999999999999E-2"/>
    <n v="316134"/>
    <x v="1"/>
  </r>
  <r>
    <x v="104"/>
    <n v="7.1599999999999997E-2"/>
    <n v="542805"/>
    <x v="1"/>
  </r>
  <r>
    <x v="105"/>
    <n v="1.44E-2"/>
    <n v="1406872"/>
    <x v="1"/>
  </r>
  <r>
    <x v="106"/>
    <n v="0.1963"/>
    <n v="686075"/>
    <x v="1"/>
  </r>
  <r>
    <x v="107"/>
    <n v="1.4800000000000001E-2"/>
    <n v="34241"/>
    <x v="1"/>
  </r>
  <r>
    <x v="108"/>
    <n v="4.2999999999999997E-2"/>
    <n v="810252"/>
    <x v="1"/>
  </r>
  <r>
    <x v="109"/>
    <n v="1.6899999999999998E-2"/>
    <n v="8799764"/>
    <x v="1"/>
  </r>
  <r>
    <x v="110"/>
    <n v="5.6399999999999999E-2"/>
    <n v="6405267"/>
    <x v="1"/>
  </r>
  <r>
    <x v="111"/>
    <n v="0.32490000000000002"/>
    <n v="25910"/>
    <x v="1"/>
  </r>
  <r>
    <x v="112"/>
    <n v="0.18329999999999999"/>
    <n v="95241"/>
    <x v="1"/>
  </r>
  <r>
    <x v="113"/>
    <n v="1.24E-2"/>
    <n v="1157910"/>
    <x v="1"/>
  </r>
  <r>
    <x v="114"/>
    <n v="4.1999999999999997E-3"/>
    <n v="19472"/>
    <x v="1"/>
  </r>
  <r>
    <x v="115"/>
    <n v="7.4499999999999997E-2"/>
    <n v="233918"/>
    <x v="1"/>
  </r>
  <r>
    <x v="116"/>
    <n v="0.21590000000000001"/>
    <n v="105278"/>
    <x v="1"/>
  </r>
  <r>
    <x v="117"/>
    <n v="5.0000000000000001E-4"/>
    <n v="8599503"/>
    <x v="1"/>
  </r>
  <r>
    <x v="118"/>
    <n v="0.99929999999999997"/>
    <n v="50214459"/>
    <x v="1"/>
  </r>
  <r>
    <x v="119"/>
    <n v="3.38"/>
    <n v="10"/>
    <x v="1"/>
  </r>
  <r>
    <x v="120"/>
    <n v="0.89400000000000002"/>
    <n v="1784357"/>
    <x v="1"/>
  </r>
  <r>
    <x v="121"/>
    <n v="8.8000000000000005E-3"/>
    <n v="1018996"/>
    <x v="1"/>
  </r>
  <r>
    <x v="122"/>
    <n v="3.6299999999999999E-2"/>
    <n v="849245"/>
    <x v="1"/>
  </r>
  <r>
    <x v="123"/>
    <n v="4.5600000000000002E-2"/>
    <n v="31161"/>
    <x v="1"/>
  </r>
  <r>
    <x v="124"/>
    <n v="8.7099999999999997E-2"/>
    <n v="260752"/>
    <x v="1"/>
  </r>
  <r>
    <x v="125"/>
    <n v="3.95E-2"/>
    <n v="7734230"/>
    <x v="1"/>
  </r>
  <r>
    <x v="126"/>
    <n v="9.8699999999999996E-2"/>
    <n v="229548"/>
    <x v="1"/>
  </r>
  <r>
    <x v="127"/>
    <n v="0.29120000000000001"/>
    <n v="65907"/>
    <x v="1"/>
  </r>
  <r>
    <x v="128"/>
    <n v="3.4700000000000002E-2"/>
    <n v="146941"/>
    <x v="1"/>
  </r>
  <r>
    <x v="129"/>
    <n v="1.9300000000000001E-2"/>
    <n v="6780"/>
    <x v="1"/>
  </r>
  <r>
    <x v="130"/>
    <n v="1.38"/>
    <n v="425962"/>
    <x v="1"/>
  </r>
  <r>
    <x v="131"/>
    <n v="2.9999999999999997E-4"/>
    <n v="87808"/>
    <x v="1"/>
  </r>
  <r>
    <x v="132"/>
    <n v="1E-3"/>
    <n v="187469"/>
    <x v="1"/>
  </r>
  <r>
    <x v="133"/>
    <n v="0.13519999999999999"/>
    <n v="340331"/>
    <x v="1"/>
  </r>
  <r>
    <x v="134"/>
    <n v="4.8999999999999998E-3"/>
    <n v="321408"/>
    <x v="1"/>
  </r>
  <r>
    <x v="135"/>
    <n v="6.0499999999999998E-2"/>
    <n v="4164781"/>
    <x v="1"/>
  </r>
  <r>
    <x v="136"/>
    <n v="0.26100000000000001"/>
    <n v="3754649"/>
    <x v="1"/>
  </r>
  <r>
    <x v="137"/>
    <n v="5.8999999999999999E-3"/>
    <n v="59834"/>
    <x v="1"/>
  </r>
  <r>
    <x v="138"/>
    <n v="1.12E-2"/>
    <n v="30255"/>
    <x v="1"/>
  </r>
  <r>
    <x v="139"/>
    <n v="5.79E-2"/>
    <n v="1013267"/>
    <x v="1"/>
  </r>
  <r>
    <x v="140"/>
    <n v="6.9500000000000006E-2"/>
    <n v="846710"/>
    <x v="1"/>
  </r>
  <r>
    <x v="141"/>
    <n v="9.06"/>
    <n v="27503"/>
    <x v="1"/>
  </r>
  <r>
    <x v="142"/>
    <n v="0.30370000000000003"/>
    <n v="64548"/>
    <x v="1"/>
  </r>
  <r>
    <x v="143"/>
    <n v="5.1999999999999998E-3"/>
    <n v="2582102"/>
    <x v="1"/>
  </r>
  <r>
    <x v="144"/>
    <n v="2.4400000000000002E-2"/>
    <n v="289972"/>
    <x v="1"/>
  </r>
  <r>
    <x v="145"/>
    <n v="8.4400000000000003E-2"/>
    <n v="369327"/>
    <x v="1"/>
  </r>
  <r>
    <x v="146"/>
    <n v="6.9999999999999999E-4"/>
    <n v="10230683"/>
    <x v="1"/>
  </r>
  <r>
    <x v="147"/>
    <n v="2.76E-2"/>
    <n v="96917"/>
    <x v="1"/>
  </r>
  <r>
    <x v="148"/>
    <n v="3.8999999999999998E-3"/>
    <n v="8766"/>
    <x v="1"/>
  </r>
  <r>
    <x v="149"/>
    <n v="0.20660000000000001"/>
    <n v="106213"/>
    <x v="1"/>
  </r>
  <r>
    <x v="150"/>
    <n v="8.9999999999999998E-4"/>
    <n v="847"/>
    <x v="1"/>
  </r>
  <r>
    <x v="151"/>
    <n v="8.0000000000000004E-4"/>
    <n v="355240"/>
    <x v="1"/>
  </r>
  <r>
    <x v="152"/>
    <n v="0.16200000000000001"/>
    <n v="331094"/>
    <x v="1"/>
  </r>
  <r>
    <x v="153"/>
    <n v="1.1999999999999999E-3"/>
    <n v="18420"/>
    <x v="1"/>
  </r>
  <r>
    <x v="154"/>
    <n v="4.0000000000000002E-4"/>
    <n v="1613699"/>
    <x v="1"/>
  </r>
  <r>
    <x v="155"/>
    <n v="5.3999999999999999E-2"/>
    <n v="875780"/>
    <x v="1"/>
  </r>
  <r>
    <x v="156"/>
    <n v="1.32E-2"/>
    <n v="2394175"/>
    <x v="1"/>
  </r>
  <r>
    <x v="157"/>
    <n v="4.1999999999999997E-3"/>
    <n v="95553"/>
    <x v="1"/>
  </r>
  <r>
    <x v="158"/>
    <n v="3.6499999999999998E-2"/>
    <n v="1991360"/>
    <x v="1"/>
  </r>
  <r>
    <x v="159"/>
    <n v="2.9999999999999997E-4"/>
    <n v="19915"/>
    <x v="1"/>
  </r>
  <r>
    <x v="160"/>
    <n v="3.7000000000000002E-3"/>
    <n v="123380"/>
    <x v="1"/>
  </r>
  <r>
    <x v="161"/>
    <n v="5.0000000000000001E-3"/>
    <n v="492884"/>
    <x v="1"/>
  </r>
  <r>
    <x v="162"/>
    <n v="3.5000000000000001E-3"/>
    <n v="78498"/>
    <x v="1"/>
  </r>
  <r>
    <x v="163"/>
    <n v="5.7000000000000002E-3"/>
    <n v="248901"/>
    <x v="1"/>
  </r>
  <r>
    <x v="164"/>
    <n v="2.63"/>
    <n v="650212"/>
    <x v="1"/>
  </r>
  <r>
    <x v="165"/>
    <n v="7.22E-2"/>
    <n v="225992"/>
    <x v="1"/>
  </r>
  <r>
    <x v="166"/>
    <n v="2.7000000000000001E-3"/>
    <n v="9317"/>
    <x v="1"/>
  </r>
  <r>
    <x v="167"/>
    <n v="0.33800000000000002"/>
    <n v="93501"/>
    <x v="1"/>
  </r>
  <r>
    <x v="168"/>
    <n v="8.8499999999999995E-2"/>
    <n v="86410"/>
    <x v="1"/>
  </r>
  <r>
    <x v="169"/>
    <n v="1.7899999999999999E-2"/>
    <n v="475091"/>
    <x v="1"/>
  </r>
  <r>
    <x v="170"/>
    <n v="5.5399999999999998E-2"/>
    <n v="537558"/>
    <x v="1"/>
  </r>
  <r>
    <x v="171"/>
    <n v="3.1099999999999999E-2"/>
    <n v="181224"/>
    <x v="1"/>
  </r>
  <r>
    <x v="172"/>
    <n v="5.7000000000000002E-3"/>
    <n v="55232"/>
    <x v="1"/>
  </r>
  <r>
    <x v="173"/>
    <n v="5.2200000000000003E-2"/>
    <n v="238266"/>
    <x v="1"/>
  </r>
  <r>
    <x v="174"/>
    <n v="0.30230000000000001"/>
    <n v="49762"/>
    <x v="1"/>
  </r>
  <r>
    <x v="175"/>
    <n v="3.7999999999999999E-2"/>
    <n v="1268"/>
    <x v="1"/>
  </r>
  <r>
    <x v="176"/>
    <n v="8.3599999999999994E-2"/>
    <n v="3030"/>
    <x v="1"/>
  </r>
  <r>
    <x v="177"/>
    <n v="3.3E-3"/>
    <n v="69711"/>
    <x v="1"/>
  </r>
  <r>
    <x v="178"/>
    <n v="2.0400000000000001E-2"/>
    <n v="90761"/>
    <x v="1"/>
  </r>
  <r>
    <x v="179"/>
    <n v="1.8E-3"/>
    <n v="403029"/>
    <x v="1"/>
  </r>
  <r>
    <x v="180"/>
    <n v="3.3799999999999997E-2"/>
    <n v="637"/>
    <x v="1"/>
  </r>
  <r>
    <x v="181"/>
    <n v="1.5900000000000001E-2"/>
    <n v="73794"/>
    <x v="1"/>
  </r>
  <r>
    <x v="182"/>
    <n v="6.6E-3"/>
    <n v="99738"/>
    <x v="1"/>
  </r>
  <r>
    <x v="183"/>
    <n v="1.1000000000000001E-3"/>
    <n v="57798"/>
    <x v="1"/>
  </r>
  <r>
    <x v="184"/>
    <n v="1E-4"/>
    <n v="28022"/>
    <x v="1"/>
  </r>
  <r>
    <x v="185"/>
    <n v="7.3000000000000001E-3"/>
    <n v="52"/>
    <x v="1"/>
  </r>
  <r>
    <x v="186"/>
    <n v="1.9E-3"/>
    <n v="10533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FCF2827-E10C-468D-8FDB-16B10A238D1B}"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rowHeaderCaption="Coin Name">
  <location ref="R31:R32" firstHeaderRow="1" firstDataRow="1" firstDataCol="0"/>
  <pivotFields count="19">
    <pivotField showAll="0"/>
    <pivotField showAll="0"/>
    <pivotField dataField="1" showAll="0"/>
    <pivotField showAll="0"/>
    <pivotField showAll="0"/>
    <pivotField showAll="0"/>
    <pivotField showAll="0"/>
    <pivotField showAll="0"/>
    <pivotField showAll="0"/>
    <pivotField showAll="0"/>
    <pivotField showAll="0">
      <items count="8">
        <item x="3"/>
        <item x="4"/>
        <item x="0"/>
        <item x="1"/>
        <item x="5"/>
        <item x="6"/>
        <item x="2"/>
        <item t="default"/>
      </items>
    </pivotField>
    <pivotField showAll="0"/>
    <pivotField showAll="0"/>
    <pivotField showAll="0"/>
    <pivotField showAll="0"/>
    <pivotField showAll="0"/>
    <pivotField showAll="0"/>
    <pivotField showAll="0"/>
    <pivotField showAll="0"/>
  </pivotFields>
  <rowItems count="1">
    <i/>
  </rowItems>
  <colItems count="1">
    <i/>
  </colItems>
  <dataFields count="1">
    <dataField name="Sum of Price (USD)"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B6F1763-C72D-498E-B7FE-EB6FF5072E19}"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rowHeaderCaption="Coin Name">
  <location ref="X2:Y190" firstHeaderRow="1" firstDataRow="1" firstDataCol="1"/>
  <pivotFields count="19">
    <pivotField axis="axisRow" showAll="0" sortType="descending">
      <items count="188">
        <item x="12"/>
        <item x="137"/>
        <item x="71"/>
        <item x="181"/>
        <item x="87"/>
        <item x="97"/>
        <item x="166"/>
        <item x="117"/>
        <item x="34"/>
        <item x="84"/>
        <item x="169"/>
        <item x="106"/>
        <item x="90"/>
        <item x="75"/>
        <item x="41"/>
        <item x="52"/>
        <item x="44"/>
        <item x="46"/>
        <item x="76"/>
        <item x="45"/>
        <item x="35"/>
        <item x="63"/>
        <item x="53"/>
        <item x="123"/>
        <item x="168"/>
        <item x="36"/>
        <item x="111"/>
        <item x="147"/>
        <item x="27"/>
        <item x="112"/>
        <item x="43"/>
        <item x="109"/>
        <item x="0"/>
        <item x="14"/>
        <item x="4"/>
        <item x="156"/>
        <item x="56"/>
        <item x="81"/>
        <item x="17"/>
        <item x="95"/>
        <item x="9"/>
        <item x="183"/>
        <item x="51"/>
        <item x="165"/>
        <item x="132"/>
        <item x="82"/>
        <item x="48"/>
        <item x="119"/>
        <item x="85"/>
        <item x="89"/>
        <item x="155"/>
        <item x="172"/>
        <item x="61"/>
        <item x="19"/>
        <item x="163"/>
        <item x="40"/>
        <item x="16"/>
        <item x="7"/>
        <item x="80"/>
        <item x="31"/>
        <item x="38"/>
        <item x="142"/>
        <item x="1"/>
        <item x="185"/>
        <item x="94"/>
        <item x="177"/>
        <item x="77"/>
        <item x="22"/>
        <item x="134"/>
        <item x="20"/>
        <item x="15"/>
        <item x="128"/>
        <item x="107"/>
        <item x="151"/>
        <item x="74"/>
        <item x="58"/>
        <item x="161"/>
        <item x="92"/>
        <item x="28"/>
        <item x="47"/>
        <item x="99"/>
        <item x="162"/>
        <item x="179"/>
        <item x="105"/>
        <item x="108"/>
        <item x="186"/>
        <item x="157"/>
        <item x="101"/>
        <item x="21"/>
        <item x="83"/>
        <item x="153"/>
        <item x="122"/>
        <item x="138"/>
        <item x="23"/>
        <item x="164"/>
        <item x="93"/>
        <item x="171"/>
        <item x="174"/>
        <item x="70"/>
        <item x="50"/>
        <item x="68"/>
        <item x="67"/>
        <item x="86"/>
        <item x="152"/>
        <item x="149"/>
        <item x="180"/>
        <item x="170"/>
        <item x="98"/>
        <item x="91"/>
        <item x="24"/>
        <item x="143"/>
        <item x="62"/>
        <item x="133"/>
        <item x="130"/>
        <item x="160"/>
        <item x="129"/>
        <item x="159"/>
        <item x="127"/>
        <item x="65"/>
        <item x="79"/>
        <item x="178"/>
        <item x="55"/>
        <item x="33"/>
        <item x="150"/>
        <item x="148"/>
        <item x="116"/>
        <item x="102"/>
        <item x="110"/>
        <item x="158"/>
        <item x="13"/>
        <item x="182"/>
        <item x="59"/>
        <item x="57"/>
        <item x="154"/>
        <item x="64"/>
        <item x="100"/>
        <item x="10"/>
        <item x="73"/>
        <item x="131"/>
        <item x="176"/>
        <item x="113"/>
        <item x="96"/>
        <item x="5"/>
        <item x="167"/>
        <item x="49"/>
        <item x="118"/>
        <item x="121"/>
        <item x="140"/>
        <item x="37"/>
        <item x="120"/>
        <item x="141"/>
        <item x="126"/>
        <item x="114"/>
        <item x="103"/>
        <item x="60"/>
        <item x="125"/>
        <item x="115"/>
        <item x="3"/>
        <item x="173"/>
        <item x="42"/>
        <item x="54"/>
        <item x="145"/>
        <item x="8"/>
        <item x="124"/>
        <item x="184"/>
        <item x="144"/>
        <item x="6"/>
        <item x="25"/>
        <item x="39"/>
        <item x="135"/>
        <item x="26"/>
        <item x="104"/>
        <item x="66"/>
        <item x="18"/>
        <item x="136"/>
        <item x="30"/>
        <item x="175"/>
        <item x="72"/>
        <item x="146"/>
        <item x="78"/>
        <item x="2"/>
        <item x="32"/>
        <item x="11"/>
        <item x="29"/>
        <item x="139"/>
        <item x="88"/>
        <item x="69"/>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showAll="0"/>
    <pivotField showAll="0"/>
    <pivotField showAll="0"/>
    <pivotField showAll="0">
      <items count="8">
        <item x="3"/>
        <item x="4"/>
        <item x="0"/>
        <item x="1"/>
        <item x="5"/>
        <item x="6"/>
        <item x="2"/>
        <item t="default"/>
      </items>
    </pivotField>
    <pivotField showAll="0"/>
    <pivotField showAll="0"/>
    <pivotField showAll="0"/>
    <pivotField showAll="0"/>
    <pivotField showAll="0"/>
    <pivotField showAll="0"/>
    <pivotField showAll="0"/>
    <pivotField showAll="0"/>
  </pivotFields>
  <rowFields count="1">
    <field x="0"/>
  </rowFields>
  <rowItems count="188">
    <i>
      <x v="32"/>
    </i>
    <i>
      <x v="62"/>
    </i>
    <i>
      <x v="180"/>
    </i>
    <i>
      <x v="157"/>
    </i>
    <i>
      <x v="34"/>
    </i>
    <i>
      <x v="142"/>
    </i>
    <i>
      <x v="166"/>
    </i>
    <i>
      <x v="57"/>
    </i>
    <i>
      <x v="162"/>
    </i>
    <i>
      <x v="40"/>
    </i>
    <i>
      <x v="69"/>
    </i>
    <i>
      <x v="88"/>
    </i>
    <i>
      <x v="67"/>
    </i>
    <i>
      <x v="93"/>
    </i>
    <i>
      <x v="109"/>
    </i>
    <i>
      <x v="136"/>
    </i>
    <i>
      <x v="182"/>
    </i>
    <i>
      <x/>
    </i>
    <i>
      <x v="129"/>
    </i>
    <i>
      <x v="33"/>
    </i>
    <i>
      <x v="167"/>
    </i>
    <i>
      <x v="70"/>
    </i>
    <i>
      <x v="56"/>
    </i>
    <i>
      <x v="170"/>
    </i>
    <i>
      <x v="38"/>
    </i>
    <i>
      <x v="173"/>
    </i>
    <i>
      <x v="53"/>
    </i>
    <i>
      <x v="28"/>
    </i>
    <i>
      <x v="78"/>
    </i>
    <i>
      <x v="183"/>
    </i>
    <i>
      <x v="175"/>
    </i>
    <i>
      <x v="59"/>
    </i>
    <i>
      <x v="181"/>
    </i>
    <i>
      <x v="122"/>
    </i>
    <i>
      <x v="8"/>
    </i>
    <i>
      <x v="20"/>
    </i>
    <i>
      <x v="25"/>
    </i>
    <i>
      <x v="148"/>
    </i>
    <i>
      <x v="60"/>
    </i>
    <i>
      <x v="168"/>
    </i>
    <i>
      <x v="55"/>
    </i>
    <i>
      <x v="14"/>
    </i>
    <i>
      <x v="159"/>
    </i>
    <i>
      <x v="30"/>
    </i>
    <i>
      <x v="19"/>
    </i>
    <i>
      <x v="16"/>
    </i>
    <i>
      <x v="17"/>
    </i>
    <i>
      <x v="79"/>
    </i>
    <i>
      <x v="46"/>
    </i>
    <i>
      <x v="144"/>
    </i>
    <i>
      <x v="99"/>
    </i>
    <i>
      <x v="42"/>
    </i>
    <i>
      <x v="15"/>
    </i>
    <i>
      <x v="22"/>
    </i>
    <i>
      <x v="160"/>
    </i>
    <i>
      <x v="121"/>
    </i>
    <i>
      <x v="36"/>
    </i>
    <i>
      <x v="132"/>
    </i>
    <i>
      <x v="75"/>
    </i>
    <i>
      <x v="131"/>
    </i>
    <i>
      <x v="154"/>
    </i>
    <i>
      <x v="52"/>
    </i>
    <i>
      <x v="111"/>
    </i>
    <i>
      <x v="21"/>
    </i>
    <i>
      <x v="134"/>
    </i>
    <i>
      <x v="118"/>
    </i>
    <i>
      <x v="172"/>
    </i>
    <i>
      <x v="101"/>
    </i>
    <i>
      <x v="100"/>
    </i>
    <i>
      <x v="186"/>
    </i>
    <i>
      <x v="98"/>
    </i>
    <i>
      <x v="2"/>
    </i>
    <i>
      <x v="177"/>
    </i>
    <i>
      <x v="137"/>
    </i>
    <i>
      <x v="74"/>
    </i>
    <i>
      <x v="13"/>
    </i>
    <i>
      <x v="18"/>
    </i>
    <i>
      <x v="66"/>
    </i>
    <i>
      <x v="179"/>
    </i>
    <i>
      <x v="119"/>
    </i>
    <i>
      <x v="58"/>
    </i>
    <i>
      <x v="37"/>
    </i>
    <i>
      <x v="45"/>
    </i>
    <i>
      <x v="89"/>
    </i>
    <i>
      <x v="9"/>
    </i>
    <i>
      <x v="48"/>
    </i>
    <i>
      <x v="102"/>
    </i>
    <i>
      <x v="4"/>
    </i>
    <i>
      <x v="185"/>
    </i>
    <i>
      <x v="49"/>
    </i>
    <i>
      <x v="12"/>
    </i>
    <i>
      <x v="108"/>
    </i>
    <i>
      <x v="77"/>
    </i>
    <i>
      <x v="95"/>
    </i>
    <i>
      <x v="64"/>
    </i>
    <i>
      <x v="39"/>
    </i>
    <i>
      <x v="141"/>
    </i>
    <i>
      <x v="5"/>
    </i>
    <i>
      <x v="107"/>
    </i>
    <i>
      <x v="80"/>
    </i>
    <i>
      <x v="135"/>
    </i>
    <i>
      <x v="87"/>
    </i>
    <i>
      <x v="126"/>
    </i>
    <i>
      <x v="153"/>
    </i>
    <i>
      <x v="171"/>
    </i>
    <i>
      <x v="83"/>
    </i>
    <i>
      <x v="11"/>
    </i>
    <i>
      <x v="72"/>
    </i>
    <i>
      <x v="84"/>
    </i>
    <i>
      <x v="31"/>
    </i>
    <i>
      <x v="127"/>
    </i>
    <i>
      <x v="26"/>
    </i>
    <i>
      <x v="140"/>
    </i>
    <i>
      <x v="29"/>
    </i>
    <i>
      <x v="156"/>
    </i>
    <i>
      <x v="152"/>
    </i>
    <i>
      <x v="125"/>
    </i>
    <i>
      <x v="7"/>
    </i>
    <i>
      <x v="145"/>
    </i>
    <i>
      <x v="47"/>
    </i>
    <i>
      <x v="149"/>
    </i>
    <i>
      <x v="146"/>
    </i>
    <i>
      <x v="91"/>
    </i>
    <i>
      <x v="23"/>
    </i>
    <i>
      <x v="163"/>
    </i>
    <i>
      <x v="155"/>
    </i>
    <i>
      <x v="151"/>
    </i>
    <i>
      <x v="117"/>
    </i>
    <i>
      <x v="71"/>
    </i>
    <i>
      <x v="115"/>
    </i>
    <i>
      <x v="113"/>
    </i>
    <i>
      <x v="138"/>
    </i>
    <i>
      <x v="44"/>
    </i>
    <i>
      <x v="112"/>
    </i>
    <i>
      <x v="68"/>
    </i>
    <i>
      <x v="169"/>
    </i>
    <i>
      <x v="174"/>
    </i>
    <i>
      <x v="1"/>
    </i>
    <i>
      <x v="92"/>
    </i>
    <i>
      <x v="184"/>
    </i>
    <i>
      <x v="147"/>
    </i>
    <i>
      <x v="150"/>
    </i>
    <i>
      <x v="61"/>
    </i>
    <i>
      <x v="110"/>
    </i>
    <i>
      <x v="165"/>
    </i>
    <i>
      <x v="161"/>
    </i>
    <i>
      <x v="178"/>
    </i>
    <i>
      <x v="27"/>
    </i>
    <i>
      <x v="124"/>
    </i>
    <i>
      <x v="104"/>
    </i>
    <i>
      <x v="123"/>
    </i>
    <i>
      <x v="73"/>
    </i>
    <i>
      <x v="103"/>
    </i>
    <i>
      <x v="90"/>
    </i>
    <i>
      <x v="133"/>
    </i>
    <i>
      <x v="50"/>
    </i>
    <i>
      <x v="35"/>
    </i>
    <i>
      <x v="86"/>
    </i>
    <i>
      <x v="128"/>
    </i>
    <i>
      <x v="116"/>
    </i>
    <i>
      <x v="114"/>
    </i>
    <i>
      <x v="76"/>
    </i>
    <i>
      <x v="81"/>
    </i>
    <i>
      <x v="54"/>
    </i>
    <i>
      <x v="94"/>
    </i>
    <i>
      <x v="43"/>
    </i>
    <i>
      <x v="6"/>
    </i>
    <i>
      <x v="143"/>
    </i>
    <i>
      <x v="24"/>
    </i>
    <i>
      <x v="10"/>
    </i>
    <i>
      <x v="106"/>
    </i>
    <i>
      <x v="96"/>
    </i>
    <i>
      <x v="158"/>
    </i>
    <i>
      <x v="51"/>
    </i>
    <i>
      <x v="65"/>
    </i>
    <i>
      <x v="97"/>
    </i>
    <i>
      <x v="176"/>
    </i>
    <i>
      <x v="139"/>
    </i>
    <i>
      <x v="120"/>
    </i>
    <i>
      <x v="82"/>
    </i>
    <i>
      <x v="105"/>
    </i>
    <i>
      <x v="3"/>
    </i>
    <i>
      <x v="130"/>
    </i>
    <i>
      <x v="41"/>
    </i>
    <i>
      <x v="164"/>
    </i>
    <i>
      <x v="63"/>
    </i>
    <i>
      <x v="85"/>
    </i>
    <i t="grand">
      <x/>
    </i>
  </rowItems>
  <colItems count="1">
    <i/>
  </colItems>
  <dataFields count="1">
    <dataField name="Sum of Market Cap"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C953273-35B9-4183-BED2-0AAD592581FC}"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rowHeaderCaption="Coin Name">
  <location ref="R28:R29" firstHeaderRow="1" firstDataRow="1" firstDataCol="0"/>
  <pivotFields count="19">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showAll="0"/>
    <pivotField showAll="0"/>
    <pivotField showAll="0"/>
    <pivotField showAll="0">
      <items count="8">
        <item x="3"/>
        <item x="4"/>
        <item x="0"/>
        <item x="1"/>
        <item x="5"/>
        <item x="6"/>
        <item x="2"/>
        <item t="default"/>
      </items>
    </pivotField>
    <pivotField showAll="0"/>
    <pivotField showAll="0"/>
    <pivotField showAll="0"/>
    <pivotField showAll="0"/>
    <pivotField showAll="0"/>
    <pivotField showAll="0"/>
    <pivotField showAll="0"/>
    <pivotField showAll="0"/>
  </pivotFields>
  <rowItems count="1">
    <i/>
  </rowItems>
  <colItems count="1">
    <i/>
  </colItems>
  <dataFields count="1">
    <dataField name="Sum of Market Cap"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5379C7C-6220-43E4-9B9E-A95F56EDBADE}"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rowHeaderCaption="Coin Name">
  <location ref="O53:P74" firstHeaderRow="1" firstDataRow="1" firstDataCol="1"/>
  <pivotFields count="19">
    <pivotField axis="axisRow" showAll="0" measureFilter="1" sortType="descending">
      <items count="188">
        <item x="88"/>
        <item x="139"/>
        <item x="29"/>
        <item x="11"/>
        <item x="32"/>
        <item x="2"/>
        <item x="78"/>
        <item x="146"/>
        <item x="72"/>
        <item x="175"/>
        <item x="30"/>
        <item x="136"/>
        <item x="18"/>
        <item x="66"/>
        <item x="104"/>
        <item x="26"/>
        <item x="135"/>
        <item x="39"/>
        <item x="25"/>
        <item x="6"/>
        <item x="144"/>
        <item x="184"/>
        <item x="124"/>
        <item x="8"/>
        <item x="145"/>
        <item x="54"/>
        <item x="42"/>
        <item x="173"/>
        <item x="3"/>
        <item x="115"/>
        <item x="125"/>
        <item x="60"/>
        <item x="103"/>
        <item x="114"/>
        <item x="126"/>
        <item x="141"/>
        <item x="120"/>
        <item x="37"/>
        <item x="140"/>
        <item x="121"/>
        <item x="118"/>
        <item x="49"/>
        <item x="167"/>
        <item x="5"/>
        <item x="96"/>
        <item x="113"/>
        <item x="176"/>
        <item x="131"/>
        <item x="73"/>
        <item x="10"/>
        <item x="100"/>
        <item x="64"/>
        <item x="154"/>
        <item x="57"/>
        <item x="59"/>
        <item x="182"/>
        <item x="13"/>
        <item x="158"/>
        <item x="110"/>
        <item x="102"/>
        <item x="116"/>
        <item x="148"/>
        <item x="150"/>
        <item x="33"/>
        <item x="55"/>
        <item x="178"/>
        <item x="79"/>
        <item x="65"/>
        <item x="127"/>
        <item x="159"/>
        <item x="129"/>
        <item x="160"/>
        <item x="130"/>
        <item x="133"/>
        <item x="62"/>
        <item x="143"/>
        <item x="24"/>
        <item x="91"/>
        <item x="98"/>
        <item x="170"/>
        <item x="180"/>
        <item x="149"/>
        <item x="152"/>
        <item x="86"/>
        <item x="67"/>
        <item x="68"/>
        <item x="50"/>
        <item x="70"/>
        <item x="174"/>
        <item x="171"/>
        <item x="93"/>
        <item x="164"/>
        <item x="23"/>
        <item x="138"/>
        <item x="122"/>
        <item x="153"/>
        <item x="83"/>
        <item x="21"/>
        <item x="101"/>
        <item x="157"/>
        <item x="186"/>
        <item x="108"/>
        <item x="105"/>
        <item x="179"/>
        <item x="162"/>
        <item x="99"/>
        <item x="47"/>
        <item x="28"/>
        <item x="92"/>
        <item x="161"/>
        <item x="58"/>
        <item x="74"/>
        <item x="151"/>
        <item x="107"/>
        <item x="128"/>
        <item x="15"/>
        <item x="20"/>
        <item x="134"/>
        <item x="22"/>
        <item x="77"/>
        <item x="177"/>
        <item x="94"/>
        <item x="185"/>
        <item x="1"/>
        <item x="142"/>
        <item x="38"/>
        <item x="31"/>
        <item x="80"/>
        <item x="7"/>
        <item x="16"/>
        <item x="40"/>
        <item x="163"/>
        <item x="19"/>
        <item x="61"/>
        <item x="172"/>
        <item x="155"/>
        <item x="89"/>
        <item x="85"/>
        <item x="119"/>
        <item x="48"/>
        <item x="82"/>
        <item x="132"/>
        <item x="165"/>
        <item x="51"/>
        <item x="183"/>
        <item x="9"/>
        <item x="95"/>
        <item x="17"/>
        <item x="81"/>
        <item x="56"/>
        <item x="156"/>
        <item x="4"/>
        <item x="14"/>
        <item x="0"/>
        <item x="109"/>
        <item x="43"/>
        <item x="112"/>
        <item x="27"/>
        <item x="147"/>
        <item x="111"/>
        <item x="36"/>
        <item x="168"/>
        <item x="123"/>
        <item x="53"/>
        <item x="63"/>
        <item x="35"/>
        <item x="45"/>
        <item x="76"/>
        <item x="46"/>
        <item x="44"/>
        <item x="52"/>
        <item x="41"/>
        <item x="75"/>
        <item x="90"/>
        <item x="106"/>
        <item x="169"/>
        <item x="84"/>
        <item x="34"/>
        <item x="117"/>
        <item x="166"/>
        <item x="97"/>
        <item x="87"/>
        <item x="181"/>
        <item x="71"/>
        <item x="137"/>
        <item x="12"/>
        <item x="69"/>
        <item t="default"/>
      </items>
      <autoSortScope>
        <pivotArea dataOnly="0" outline="0" fieldPosition="0">
          <references count="1">
            <reference field="4294967294" count="1" selected="0">
              <x v="0"/>
            </reference>
          </references>
        </pivotArea>
      </autoSortScope>
    </pivotField>
    <pivotField axis="axisRow" showAll="0">
      <items count="188">
        <item x="12"/>
        <item x="137"/>
        <item x="71"/>
        <item x="9"/>
        <item x="181"/>
        <item x="84"/>
        <item x="87"/>
        <item x="97"/>
        <item x="91"/>
        <item x="166"/>
        <item x="117"/>
        <item x="52"/>
        <item x="34"/>
        <item x="169"/>
        <item x="106"/>
        <item x="75"/>
        <item x="41"/>
        <item x="44"/>
        <item x="46"/>
        <item x="76"/>
        <item x="56"/>
        <item x="45"/>
        <item x="35"/>
        <item x="17"/>
        <item x="53"/>
        <item x="36"/>
        <item x="168"/>
        <item x="48"/>
        <item x="111"/>
        <item x="27"/>
        <item x="147"/>
        <item x="112"/>
        <item x="85"/>
        <item x="43"/>
        <item x="4"/>
        <item x="81"/>
        <item x="156"/>
        <item x="109"/>
        <item x="0"/>
        <item x="14"/>
        <item x="95"/>
        <item x="123"/>
        <item x="183"/>
        <item x="165"/>
        <item x="51"/>
        <item x="132"/>
        <item x="167"/>
        <item x="175"/>
        <item x="82"/>
        <item x="172"/>
        <item x="89"/>
        <item x="61"/>
        <item x="139"/>
        <item x="163"/>
        <item x="31"/>
        <item x="16"/>
        <item x="185"/>
        <item x="7"/>
        <item x="40"/>
        <item x="38"/>
        <item x="142"/>
        <item x="1"/>
        <item x="80"/>
        <item x="94"/>
        <item x="77"/>
        <item x="134"/>
        <item x="15"/>
        <item x="128"/>
        <item x="151"/>
        <item x="20"/>
        <item x="74"/>
        <item x="161"/>
        <item x="92"/>
        <item x="58"/>
        <item x="47"/>
        <item x="143"/>
        <item x="99"/>
        <item x="162"/>
        <item x="179"/>
        <item x="105"/>
        <item x="108"/>
        <item x="186"/>
        <item x="157"/>
        <item x="184"/>
        <item x="21"/>
        <item x="101"/>
        <item x="83"/>
        <item x="79"/>
        <item x="153"/>
        <item x="138"/>
        <item x="23"/>
        <item x="122"/>
        <item x="42"/>
        <item x="164"/>
        <item x="19"/>
        <item x="171"/>
        <item x="67"/>
        <item x="70"/>
        <item x="68"/>
        <item x="93"/>
        <item x="86"/>
        <item x="129"/>
        <item x="174"/>
        <item x="152"/>
        <item x="50"/>
        <item x="149"/>
        <item x="173"/>
        <item x="170"/>
        <item x="98"/>
        <item x="62"/>
        <item x="63"/>
        <item x="90"/>
        <item x="133"/>
        <item x="131"/>
        <item x="130"/>
        <item x="160"/>
        <item x="159"/>
        <item x="65"/>
        <item x="178"/>
        <item x="33"/>
        <item x="127"/>
        <item x="116"/>
        <item x="102"/>
        <item x="110"/>
        <item x="158"/>
        <item x="66"/>
        <item x="13"/>
        <item x="150"/>
        <item x="182"/>
        <item x="176"/>
        <item x="59"/>
        <item x="154"/>
        <item x="64"/>
        <item x="10"/>
        <item x="73"/>
        <item x="100"/>
        <item x="120"/>
        <item x="113"/>
        <item x="96"/>
        <item x="37"/>
        <item x="5"/>
        <item x="49"/>
        <item x="144"/>
        <item x="121"/>
        <item x="140"/>
        <item x="141"/>
        <item x="126"/>
        <item x="114"/>
        <item x="103"/>
        <item x="124"/>
        <item x="125"/>
        <item x="115"/>
        <item x="54"/>
        <item x="145"/>
        <item x="8"/>
        <item x="25"/>
        <item x="6"/>
        <item x="22"/>
        <item x="28"/>
        <item x="118"/>
        <item x="3"/>
        <item x="24"/>
        <item x="39"/>
        <item x="135"/>
        <item x="104"/>
        <item x="26"/>
        <item x="18"/>
        <item x="136"/>
        <item x="148"/>
        <item x="30"/>
        <item x="119"/>
        <item x="155"/>
        <item x="72"/>
        <item x="146"/>
        <item x="78"/>
        <item x="57"/>
        <item x="2"/>
        <item x="180"/>
        <item x="60"/>
        <item x="177"/>
        <item x="107"/>
        <item x="69"/>
        <item x="32"/>
        <item x="29"/>
        <item x="11"/>
        <item x="55"/>
        <item x="88"/>
        <item t="default"/>
      </items>
    </pivotField>
    <pivotField dataField="1" showAll="0"/>
    <pivotField showAll="0"/>
    <pivotField showAll="0"/>
    <pivotField showAll="0"/>
    <pivotField showAll="0"/>
    <pivotField showAll="0"/>
    <pivotField showAll="0"/>
    <pivotField showAll="0"/>
    <pivotField showAll="0">
      <items count="8">
        <item x="3"/>
        <item x="4"/>
        <item x="0"/>
        <item x="1"/>
        <item x="5"/>
        <item x="6"/>
        <item x="2"/>
        <item t="default"/>
      </items>
    </pivotField>
    <pivotField showAll="0"/>
    <pivotField showAll="0"/>
    <pivotField showAll="0"/>
    <pivotField showAll="0"/>
    <pivotField showAll="0"/>
    <pivotField showAll="0"/>
    <pivotField showAll="0"/>
    <pivotField showAll="0"/>
  </pivotFields>
  <rowFields count="2">
    <field x="0"/>
    <field x="1"/>
  </rowFields>
  <rowItems count="21">
    <i>
      <x v="153"/>
    </i>
    <i r="1">
      <x v="38"/>
    </i>
    <i>
      <x v="123"/>
    </i>
    <i r="1">
      <x v="61"/>
    </i>
    <i>
      <x v="151"/>
    </i>
    <i r="1">
      <x v="34"/>
    </i>
    <i>
      <x v="43"/>
    </i>
    <i r="1">
      <x v="140"/>
    </i>
    <i>
      <x v="3"/>
    </i>
    <i r="1">
      <x v="184"/>
    </i>
    <i>
      <x v="180"/>
    </i>
    <i r="1">
      <x v="7"/>
    </i>
    <i>
      <x v="25"/>
    </i>
    <i r="1">
      <x v="152"/>
    </i>
    <i>
      <x v="149"/>
    </i>
    <i r="1">
      <x v="20"/>
    </i>
    <i>
      <x v="35"/>
    </i>
    <i r="1">
      <x v="145"/>
    </i>
    <i>
      <x v="129"/>
    </i>
    <i r="1">
      <x v="55"/>
    </i>
    <i t="grand">
      <x/>
    </i>
  </rowItems>
  <colItems count="1">
    <i/>
  </colItems>
  <dataFields count="1">
    <dataField name="Sum of Price (USD)" fld="2" baseField="0" baseItem="0"/>
  </dataFields>
  <pivotTableStyleInfo name="PivotStyleLight16" showRowHeaders="1" showColHeaders="1" showRowStripes="0" showColStripes="0" showLastColumn="1"/>
  <filters count="1">
    <filter fld="0"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9A79BCF-3160-47C2-89DF-0E71ADAB8FFD}"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rowHeaderCaption="Coin Name">
  <location ref="R34:R35" firstHeaderRow="1" firstDataRow="1" firstDataCol="0"/>
  <pivotFields count="19">
    <pivotField showAll="0"/>
    <pivotField showAll="0"/>
    <pivotField showAll="0"/>
    <pivotField showAll="0"/>
    <pivotField showAll="0"/>
    <pivotField showAll="0"/>
    <pivotField showAll="0"/>
    <pivotField dataField="1" showAll="0"/>
    <pivotField showAll="0"/>
    <pivotField showAll="0"/>
    <pivotField showAll="0">
      <items count="8">
        <item x="3"/>
        <item x="4"/>
        <item x="0"/>
        <item x="1"/>
        <item x="5"/>
        <item x="6"/>
        <item x="2"/>
        <item t="default"/>
      </items>
    </pivotField>
    <pivotField showAll="0"/>
    <pivotField showAll="0"/>
    <pivotField showAll="0"/>
    <pivotField showAll="0"/>
    <pivotField showAll="0"/>
    <pivotField showAll="0"/>
    <pivotField showAll="0"/>
    <pivotField showAll="0"/>
  </pivotFields>
  <rowItems count="1">
    <i/>
  </rowItems>
  <colItems count="1">
    <i/>
  </colItems>
  <dataFields count="1">
    <dataField name="Sum of Circulating_Supply($)"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C5F2999-C1DD-45F3-9104-C1E69A4CF269}"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rowHeaderCaption="Coin Name">
  <location ref="A18:B29" firstHeaderRow="1" firstDataRow="1" firstDataCol="1"/>
  <pivotFields count="19">
    <pivotField axis="axisRow" showAll="0" measureFilter="1">
      <items count="188">
        <item x="12"/>
        <item x="137"/>
        <item x="71"/>
        <item x="181"/>
        <item x="87"/>
        <item x="97"/>
        <item x="166"/>
        <item x="117"/>
        <item x="34"/>
        <item x="84"/>
        <item x="169"/>
        <item x="106"/>
        <item x="90"/>
        <item x="75"/>
        <item x="41"/>
        <item x="52"/>
        <item x="44"/>
        <item x="46"/>
        <item x="76"/>
        <item x="45"/>
        <item x="35"/>
        <item x="63"/>
        <item x="53"/>
        <item x="123"/>
        <item x="168"/>
        <item x="36"/>
        <item x="111"/>
        <item x="147"/>
        <item x="27"/>
        <item x="112"/>
        <item x="43"/>
        <item x="109"/>
        <item x="0"/>
        <item x="14"/>
        <item x="4"/>
        <item x="156"/>
        <item x="56"/>
        <item x="81"/>
        <item x="17"/>
        <item x="95"/>
        <item x="9"/>
        <item x="183"/>
        <item x="51"/>
        <item x="165"/>
        <item x="132"/>
        <item x="82"/>
        <item x="48"/>
        <item x="119"/>
        <item x="85"/>
        <item x="89"/>
        <item x="155"/>
        <item x="172"/>
        <item x="61"/>
        <item x="19"/>
        <item x="163"/>
        <item x="40"/>
        <item x="16"/>
        <item x="7"/>
        <item x="80"/>
        <item x="31"/>
        <item x="38"/>
        <item x="142"/>
        <item x="1"/>
        <item x="185"/>
        <item x="94"/>
        <item x="177"/>
        <item x="77"/>
        <item x="22"/>
        <item x="134"/>
        <item x="20"/>
        <item x="15"/>
        <item x="128"/>
        <item x="107"/>
        <item x="151"/>
        <item x="74"/>
        <item x="58"/>
        <item x="161"/>
        <item x="92"/>
        <item x="28"/>
        <item x="47"/>
        <item x="99"/>
        <item x="162"/>
        <item x="179"/>
        <item x="105"/>
        <item x="108"/>
        <item x="186"/>
        <item x="157"/>
        <item x="101"/>
        <item x="21"/>
        <item x="83"/>
        <item x="153"/>
        <item x="122"/>
        <item x="138"/>
        <item x="23"/>
        <item x="164"/>
        <item x="93"/>
        <item x="171"/>
        <item x="174"/>
        <item x="70"/>
        <item x="50"/>
        <item x="68"/>
        <item x="67"/>
        <item x="86"/>
        <item x="152"/>
        <item x="149"/>
        <item x="180"/>
        <item x="170"/>
        <item x="98"/>
        <item x="91"/>
        <item x="24"/>
        <item x="143"/>
        <item x="62"/>
        <item x="133"/>
        <item x="130"/>
        <item x="160"/>
        <item x="129"/>
        <item x="159"/>
        <item x="127"/>
        <item x="65"/>
        <item x="79"/>
        <item x="178"/>
        <item x="55"/>
        <item x="33"/>
        <item x="150"/>
        <item x="148"/>
        <item x="116"/>
        <item x="102"/>
        <item x="110"/>
        <item x="158"/>
        <item x="13"/>
        <item x="182"/>
        <item x="59"/>
        <item x="57"/>
        <item x="154"/>
        <item x="64"/>
        <item x="100"/>
        <item x="10"/>
        <item x="73"/>
        <item x="131"/>
        <item x="176"/>
        <item x="113"/>
        <item x="96"/>
        <item x="5"/>
        <item x="167"/>
        <item x="49"/>
        <item x="118"/>
        <item x="121"/>
        <item x="140"/>
        <item x="37"/>
        <item x="120"/>
        <item x="141"/>
        <item x="126"/>
        <item x="114"/>
        <item x="103"/>
        <item x="60"/>
        <item x="125"/>
        <item x="115"/>
        <item x="3"/>
        <item x="173"/>
        <item x="42"/>
        <item x="54"/>
        <item x="145"/>
        <item x="8"/>
        <item x="124"/>
        <item x="184"/>
        <item x="144"/>
        <item x="6"/>
        <item x="25"/>
        <item x="39"/>
        <item x="135"/>
        <item x="26"/>
        <item x="104"/>
        <item x="66"/>
        <item x="18"/>
        <item x="136"/>
        <item x="30"/>
        <item x="175"/>
        <item x="72"/>
        <item x="146"/>
        <item x="78"/>
        <item x="2"/>
        <item x="32"/>
        <item x="11"/>
        <item x="29"/>
        <item x="139"/>
        <item x="88"/>
        <item x="69"/>
        <item t="default"/>
      </items>
    </pivotField>
    <pivotField showAll="0"/>
    <pivotField showAll="0"/>
    <pivotField dataField="1" showAll="0"/>
    <pivotField showAll="0"/>
    <pivotField showAll="0"/>
    <pivotField showAll="0"/>
    <pivotField showAll="0"/>
    <pivotField showAll="0"/>
    <pivotField showAll="0"/>
    <pivotField showAll="0">
      <items count="8">
        <item x="3"/>
        <item x="4"/>
        <item x="0"/>
        <item x="1"/>
        <item x="5"/>
        <item x="6"/>
        <item x="2"/>
        <item t="default"/>
      </items>
    </pivotField>
    <pivotField showAll="0"/>
    <pivotField showAll="0"/>
    <pivotField showAll="0"/>
    <pivotField showAll="0"/>
    <pivotField showAll="0"/>
    <pivotField showAll="0"/>
    <pivotField showAll="0"/>
    <pivotField showAll="0"/>
  </pivotFields>
  <rowFields count="1">
    <field x="0"/>
  </rowFields>
  <rowItems count="11">
    <i>
      <x v="29"/>
    </i>
    <i>
      <x v="65"/>
    </i>
    <i>
      <x v="82"/>
    </i>
    <i>
      <x v="92"/>
    </i>
    <i>
      <x v="94"/>
    </i>
    <i>
      <x v="113"/>
    </i>
    <i>
      <x v="140"/>
    </i>
    <i>
      <x v="143"/>
    </i>
    <i>
      <x v="178"/>
    </i>
    <i>
      <x v="179"/>
    </i>
    <i t="grand">
      <x/>
    </i>
  </rowItems>
  <colItems count="1">
    <i/>
  </colItems>
  <dataFields count="1">
    <dataField name="Sum of 1h Change (%)" fld="3" baseField="0" baseItem="0"/>
  </dataFields>
  <chartFormats count="2">
    <chartFormat chart="3"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E1DBAB6-88A1-4D06-9F70-7831BE8201E6}"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5:C46" firstHeaderRow="0" firstDataRow="1" firstDataCol="1"/>
  <pivotFields count="19">
    <pivotField axis="axisRow" showAll="0" measureFilter="1">
      <items count="188">
        <item x="12"/>
        <item x="137"/>
        <item x="71"/>
        <item x="181"/>
        <item x="87"/>
        <item x="97"/>
        <item x="166"/>
        <item x="117"/>
        <item x="34"/>
        <item x="84"/>
        <item x="169"/>
        <item x="106"/>
        <item x="90"/>
        <item x="75"/>
        <item x="41"/>
        <item x="52"/>
        <item x="44"/>
        <item x="46"/>
        <item x="76"/>
        <item x="45"/>
        <item x="35"/>
        <item x="63"/>
        <item x="53"/>
        <item x="123"/>
        <item x="168"/>
        <item x="36"/>
        <item x="111"/>
        <item x="147"/>
        <item x="27"/>
        <item x="112"/>
        <item x="43"/>
        <item x="109"/>
        <item x="0"/>
        <item x="14"/>
        <item x="4"/>
        <item x="156"/>
        <item x="56"/>
        <item x="81"/>
        <item x="17"/>
        <item x="95"/>
        <item x="9"/>
        <item x="183"/>
        <item x="51"/>
        <item x="165"/>
        <item x="132"/>
        <item x="82"/>
        <item x="48"/>
        <item x="119"/>
        <item x="85"/>
        <item x="89"/>
        <item x="155"/>
        <item x="172"/>
        <item x="61"/>
        <item x="19"/>
        <item x="163"/>
        <item x="40"/>
        <item x="16"/>
        <item x="7"/>
        <item x="80"/>
        <item x="31"/>
        <item x="38"/>
        <item x="142"/>
        <item x="1"/>
        <item x="185"/>
        <item x="94"/>
        <item x="177"/>
        <item x="77"/>
        <item x="22"/>
        <item x="134"/>
        <item x="20"/>
        <item x="15"/>
        <item x="128"/>
        <item x="107"/>
        <item x="151"/>
        <item x="74"/>
        <item x="58"/>
        <item x="161"/>
        <item x="92"/>
        <item x="28"/>
        <item x="47"/>
        <item x="99"/>
        <item x="162"/>
        <item x="179"/>
        <item x="105"/>
        <item x="108"/>
        <item x="186"/>
        <item x="157"/>
        <item x="101"/>
        <item x="21"/>
        <item x="83"/>
        <item x="153"/>
        <item x="122"/>
        <item x="138"/>
        <item x="23"/>
        <item x="164"/>
        <item x="93"/>
        <item x="171"/>
        <item x="174"/>
        <item x="70"/>
        <item x="50"/>
        <item x="68"/>
        <item x="67"/>
        <item x="86"/>
        <item x="152"/>
        <item x="149"/>
        <item x="180"/>
        <item x="170"/>
        <item x="98"/>
        <item x="91"/>
        <item x="24"/>
        <item x="143"/>
        <item x="62"/>
        <item x="133"/>
        <item x="130"/>
        <item x="160"/>
        <item x="129"/>
        <item x="159"/>
        <item x="127"/>
        <item x="65"/>
        <item x="79"/>
        <item x="178"/>
        <item x="55"/>
        <item x="33"/>
        <item x="150"/>
        <item x="148"/>
        <item x="116"/>
        <item x="102"/>
        <item x="110"/>
        <item x="158"/>
        <item x="13"/>
        <item x="182"/>
        <item x="59"/>
        <item x="57"/>
        <item x="154"/>
        <item x="64"/>
        <item x="100"/>
        <item x="10"/>
        <item x="73"/>
        <item x="131"/>
        <item x="176"/>
        <item x="113"/>
        <item x="96"/>
        <item x="5"/>
        <item x="167"/>
        <item x="49"/>
        <item x="118"/>
        <item x="121"/>
        <item x="140"/>
        <item x="37"/>
        <item x="120"/>
        <item x="141"/>
        <item x="126"/>
        <item x="114"/>
        <item x="103"/>
        <item x="60"/>
        <item x="125"/>
        <item x="115"/>
        <item x="3"/>
        <item x="173"/>
        <item x="42"/>
        <item x="54"/>
        <item x="145"/>
        <item x="8"/>
        <item x="124"/>
        <item x="184"/>
        <item x="144"/>
        <item x="6"/>
        <item x="25"/>
        <item x="39"/>
        <item x="135"/>
        <item x="26"/>
        <item x="104"/>
        <item x="66"/>
        <item x="18"/>
        <item x="136"/>
        <item x="30"/>
        <item x="175"/>
        <item x="72"/>
        <item x="146"/>
        <item x="78"/>
        <item x="2"/>
        <item x="32"/>
        <item x="11"/>
        <item x="29"/>
        <item x="139"/>
        <item x="88"/>
        <item x="69"/>
        <item t="default"/>
      </items>
    </pivotField>
    <pivotField showAll="0"/>
    <pivotField dataField="1" showAll="0"/>
    <pivotField showAll="0"/>
    <pivotField showAll="0"/>
    <pivotField showAll="0"/>
    <pivotField showAll="0"/>
    <pivotField showAll="0"/>
    <pivotField dataField="1" showAll="0"/>
    <pivotField showAll="0"/>
    <pivotField showAll="0">
      <items count="8">
        <item x="3"/>
        <item x="4"/>
        <item x="0"/>
        <item x="1"/>
        <item x="5"/>
        <item x="6"/>
        <item x="2"/>
        <item t="default"/>
      </items>
    </pivotField>
    <pivotField showAll="0"/>
    <pivotField showAll="0"/>
    <pivotField showAll="0"/>
    <pivotField showAll="0"/>
    <pivotField showAll="0"/>
    <pivotField showAll="0"/>
    <pivotField showAll="0"/>
    <pivotField showAll="0"/>
  </pivotFields>
  <rowFields count="1">
    <field x="0"/>
  </rowFields>
  <rowItems count="11">
    <i>
      <x v="32"/>
    </i>
    <i>
      <x v="34"/>
    </i>
    <i>
      <x v="36"/>
    </i>
    <i>
      <x v="62"/>
    </i>
    <i>
      <x v="94"/>
    </i>
    <i>
      <x v="101"/>
    </i>
    <i>
      <x v="142"/>
    </i>
    <i>
      <x v="145"/>
    </i>
    <i>
      <x v="157"/>
    </i>
    <i>
      <x v="182"/>
    </i>
    <i t="grand">
      <x/>
    </i>
  </rowItems>
  <colFields count="1">
    <field x="-2"/>
  </colFields>
  <colItems count="2">
    <i>
      <x/>
    </i>
    <i i="1">
      <x v="1"/>
    </i>
  </colItems>
  <dataFields count="2">
    <dataField name=" Price (USD)" fld="2" baseField="0" baseItem="0"/>
    <dataField name="Sum of $Volume per Supply" fld="8" baseField="0" baseItem="0"/>
  </dataField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0" type="count" evalOrder="-1" id="1" iMeasureFld="1">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58616E6-DBA5-4622-A102-ED3EEFC3CCD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rowHeaderCaption="Coin Name">
  <location ref="A1:B12" firstHeaderRow="1" firstDataRow="1" firstDataCol="1"/>
  <pivotFields count="19">
    <pivotField axis="axisRow" showAll="0" measureFilter="1" sortType="descending">
      <items count="188">
        <item x="12"/>
        <item x="137"/>
        <item x="71"/>
        <item x="181"/>
        <item x="87"/>
        <item x="97"/>
        <item x="166"/>
        <item x="117"/>
        <item x="34"/>
        <item x="84"/>
        <item x="169"/>
        <item x="106"/>
        <item x="90"/>
        <item x="75"/>
        <item x="41"/>
        <item x="52"/>
        <item x="44"/>
        <item x="46"/>
        <item x="76"/>
        <item x="45"/>
        <item x="35"/>
        <item x="63"/>
        <item x="53"/>
        <item x="123"/>
        <item x="168"/>
        <item x="36"/>
        <item x="111"/>
        <item x="147"/>
        <item x="27"/>
        <item x="112"/>
        <item x="43"/>
        <item x="109"/>
        <item x="0"/>
        <item x="14"/>
        <item x="4"/>
        <item x="156"/>
        <item x="56"/>
        <item x="81"/>
        <item x="17"/>
        <item x="95"/>
        <item x="9"/>
        <item x="183"/>
        <item x="51"/>
        <item x="165"/>
        <item x="132"/>
        <item x="82"/>
        <item x="48"/>
        <item x="119"/>
        <item x="85"/>
        <item x="89"/>
        <item x="155"/>
        <item x="172"/>
        <item x="61"/>
        <item x="19"/>
        <item x="163"/>
        <item x="40"/>
        <item x="16"/>
        <item x="7"/>
        <item x="80"/>
        <item x="31"/>
        <item x="38"/>
        <item x="142"/>
        <item x="1"/>
        <item x="185"/>
        <item x="94"/>
        <item x="177"/>
        <item x="77"/>
        <item x="22"/>
        <item x="134"/>
        <item x="20"/>
        <item x="15"/>
        <item x="128"/>
        <item x="107"/>
        <item x="151"/>
        <item x="74"/>
        <item x="58"/>
        <item x="161"/>
        <item x="92"/>
        <item x="28"/>
        <item x="47"/>
        <item x="99"/>
        <item x="162"/>
        <item x="179"/>
        <item x="105"/>
        <item x="108"/>
        <item x="186"/>
        <item x="157"/>
        <item x="101"/>
        <item x="21"/>
        <item x="83"/>
        <item x="153"/>
        <item x="122"/>
        <item x="138"/>
        <item x="23"/>
        <item x="164"/>
        <item x="93"/>
        <item x="171"/>
        <item x="174"/>
        <item x="70"/>
        <item x="50"/>
        <item x="68"/>
        <item x="67"/>
        <item x="86"/>
        <item x="152"/>
        <item x="149"/>
        <item x="180"/>
        <item x="170"/>
        <item x="98"/>
        <item x="91"/>
        <item x="24"/>
        <item x="143"/>
        <item x="62"/>
        <item x="133"/>
        <item x="130"/>
        <item x="160"/>
        <item x="129"/>
        <item x="159"/>
        <item x="127"/>
        <item x="65"/>
        <item x="79"/>
        <item x="178"/>
        <item x="55"/>
        <item x="33"/>
        <item x="150"/>
        <item x="148"/>
        <item x="116"/>
        <item x="102"/>
        <item x="110"/>
        <item x="158"/>
        <item x="13"/>
        <item x="182"/>
        <item x="59"/>
        <item x="57"/>
        <item x="154"/>
        <item x="64"/>
        <item x="100"/>
        <item x="10"/>
        <item x="73"/>
        <item x="131"/>
        <item x="176"/>
        <item x="113"/>
        <item x="96"/>
        <item x="5"/>
        <item x="167"/>
        <item x="49"/>
        <item x="118"/>
        <item x="121"/>
        <item x="140"/>
        <item x="37"/>
        <item x="120"/>
        <item x="141"/>
        <item x="126"/>
        <item x="114"/>
        <item x="103"/>
        <item x="60"/>
        <item x="125"/>
        <item x="115"/>
        <item x="3"/>
        <item x="173"/>
        <item x="42"/>
        <item x="54"/>
        <item x="145"/>
        <item x="8"/>
        <item x="124"/>
        <item x="184"/>
        <item x="144"/>
        <item x="6"/>
        <item x="25"/>
        <item x="39"/>
        <item x="135"/>
        <item x="26"/>
        <item x="104"/>
        <item x="66"/>
        <item x="18"/>
        <item x="136"/>
        <item x="30"/>
        <item x="175"/>
        <item x="72"/>
        <item x="146"/>
        <item x="78"/>
        <item x="2"/>
        <item x="32"/>
        <item x="11"/>
        <item x="29"/>
        <item x="139"/>
        <item x="88"/>
        <item x="69"/>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pivotField showAll="0"/>
    <pivotField showAll="0"/>
    <pivotField showAll="0"/>
    <pivotField showAll="0">
      <items count="8">
        <item x="3"/>
        <item x="4"/>
        <item x="0"/>
        <item x="1"/>
        <item x="5"/>
        <item x="6"/>
        <item x="2"/>
        <item t="default"/>
      </items>
    </pivotField>
    <pivotField showAll="0"/>
    <pivotField showAll="0"/>
    <pivotField showAll="0"/>
    <pivotField showAll="0"/>
    <pivotField showAll="0"/>
    <pivotField showAll="0"/>
    <pivotField showAll="0"/>
    <pivotField showAll="0"/>
  </pivotFields>
  <rowFields count="1">
    <field x="0"/>
  </rowFields>
  <rowItems count="11">
    <i>
      <x v="32"/>
    </i>
    <i>
      <x v="62"/>
    </i>
    <i>
      <x v="34"/>
    </i>
    <i>
      <x v="142"/>
    </i>
    <i>
      <x v="182"/>
    </i>
    <i>
      <x v="5"/>
    </i>
    <i>
      <x v="160"/>
    </i>
    <i>
      <x v="36"/>
    </i>
    <i>
      <x v="150"/>
    </i>
    <i>
      <x v="56"/>
    </i>
    <i t="grand">
      <x/>
    </i>
  </rowItems>
  <colItems count="1">
    <i/>
  </colItems>
  <dataFields count="1">
    <dataField name=" Price (USD)" fld="2" baseField="0" baseItem="0"/>
  </dataFields>
  <chartFormats count="2">
    <chartFormat chart="0"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E33BAD4-6523-42DF-84B9-0AF176F2B6DD}"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rowHeaderCaption="Coin Name">
  <location ref="M30:N51" firstHeaderRow="1" firstDataRow="1" firstDataCol="1"/>
  <pivotFields count="19">
    <pivotField axis="axisRow" showAll="0" measureFilter="1" sortType="descending">
      <items count="188">
        <item x="88"/>
        <item x="139"/>
        <item x="29"/>
        <item x="11"/>
        <item x="32"/>
        <item x="2"/>
        <item x="78"/>
        <item x="146"/>
        <item x="72"/>
        <item x="175"/>
        <item x="30"/>
        <item x="136"/>
        <item x="18"/>
        <item x="66"/>
        <item x="104"/>
        <item x="26"/>
        <item x="135"/>
        <item x="39"/>
        <item x="25"/>
        <item x="6"/>
        <item x="144"/>
        <item x="184"/>
        <item x="124"/>
        <item x="8"/>
        <item x="145"/>
        <item x="54"/>
        <item x="42"/>
        <item x="173"/>
        <item x="3"/>
        <item x="115"/>
        <item x="125"/>
        <item x="60"/>
        <item x="103"/>
        <item x="114"/>
        <item x="126"/>
        <item x="141"/>
        <item x="120"/>
        <item x="37"/>
        <item x="140"/>
        <item x="121"/>
        <item x="118"/>
        <item x="49"/>
        <item x="167"/>
        <item x="5"/>
        <item x="96"/>
        <item x="113"/>
        <item x="176"/>
        <item x="131"/>
        <item x="73"/>
        <item x="10"/>
        <item x="100"/>
        <item x="64"/>
        <item x="154"/>
        <item x="57"/>
        <item x="59"/>
        <item x="182"/>
        <item x="13"/>
        <item x="158"/>
        <item x="110"/>
        <item x="102"/>
        <item x="116"/>
        <item x="148"/>
        <item x="150"/>
        <item x="33"/>
        <item x="55"/>
        <item x="178"/>
        <item x="79"/>
        <item x="65"/>
        <item x="127"/>
        <item x="159"/>
        <item x="129"/>
        <item x="160"/>
        <item x="130"/>
        <item x="133"/>
        <item x="62"/>
        <item x="143"/>
        <item x="24"/>
        <item x="91"/>
        <item x="98"/>
        <item x="170"/>
        <item x="180"/>
        <item x="149"/>
        <item x="152"/>
        <item x="86"/>
        <item x="67"/>
        <item x="68"/>
        <item x="50"/>
        <item x="70"/>
        <item x="174"/>
        <item x="171"/>
        <item x="93"/>
        <item x="164"/>
        <item x="23"/>
        <item x="138"/>
        <item x="122"/>
        <item x="153"/>
        <item x="83"/>
        <item x="21"/>
        <item x="101"/>
        <item x="157"/>
        <item x="186"/>
        <item x="108"/>
        <item x="105"/>
        <item x="179"/>
        <item x="162"/>
        <item x="99"/>
        <item x="47"/>
        <item x="28"/>
        <item x="92"/>
        <item x="161"/>
        <item x="58"/>
        <item x="74"/>
        <item x="151"/>
        <item x="107"/>
        <item x="128"/>
        <item x="15"/>
        <item x="20"/>
        <item x="134"/>
        <item x="22"/>
        <item x="77"/>
        <item x="177"/>
        <item x="94"/>
        <item x="185"/>
        <item x="1"/>
        <item x="142"/>
        <item x="38"/>
        <item x="31"/>
        <item x="80"/>
        <item x="7"/>
        <item x="16"/>
        <item x="40"/>
        <item x="163"/>
        <item x="19"/>
        <item x="61"/>
        <item x="172"/>
        <item x="155"/>
        <item x="89"/>
        <item x="85"/>
        <item x="119"/>
        <item x="48"/>
        <item x="82"/>
        <item x="132"/>
        <item x="165"/>
        <item x="51"/>
        <item x="183"/>
        <item x="9"/>
        <item x="95"/>
        <item x="17"/>
        <item x="81"/>
        <item x="56"/>
        <item x="156"/>
        <item x="4"/>
        <item x="14"/>
        <item x="0"/>
        <item x="109"/>
        <item x="43"/>
        <item x="112"/>
        <item x="27"/>
        <item x="147"/>
        <item x="111"/>
        <item x="36"/>
        <item x="168"/>
        <item x="123"/>
        <item x="53"/>
        <item x="63"/>
        <item x="35"/>
        <item x="45"/>
        <item x="76"/>
        <item x="46"/>
        <item x="44"/>
        <item x="52"/>
        <item x="41"/>
        <item x="75"/>
        <item x="90"/>
        <item x="106"/>
        <item x="169"/>
        <item x="84"/>
        <item x="34"/>
        <item x="117"/>
        <item x="166"/>
        <item x="97"/>
        <item x="87"/>
        <item x="181"/>
        <item x="71"/>
        <item x="137"/>
        <item x="12"/>
        <item x="69"/>
        <item t="default"/>
      </items>
      <autoSortScope>
        <pivotArea dataOnly="0" outline="0" fieldPosition="0">
          <references count="1">
            <reference field="4294967294" count="1" selected="0">
              <x v="0"/>
            </reference>
          </references>
        </pivotArea>
      </autoSortScope>
    </pivotField>
    <pivotField axis="axisRow" showAll="0">
      <items count="188">
        <item x="12"/>
        <item x="137"/>
        <item x="71"/>
        <item x="9"/>
        <item x="181"/>
        <item x="84"/>
        <item x="87"/>
        <item x="97"/>
        <item x="91"/>
        <item x="166"/>
        <item x="117"/>
        <item x="52"/>
        <item x="34"/>
        <item x="169"/>
        <item x="106"/>
        <item x="75"/>
        <item x="41"/>
        <item x="44"/>
        <item x="46"/>
        <item x="76"/>
        <item x="56"/>
        <item x="45"/>
        <item x="35"/>
        <item x="17"/>
        <item x="53"/>
        <item x="36"/>
        <item x="168"/>
        <item x="48"/>
        <item x="111"/>
        <item x="27"/>
        <item x="147"/>
        <item x="112"/>
        <item x="85"/>
        <item x="43"/>
        <item x="4"/>
        <item x="81"/>
        <item x="156"/>
        <item x="109"/>
        <item x="0"/>
        <item x="14"/>
        <item x="95"/>
        <item x="123"/>
        <item x="183"/>
        <item x="165"/>
        <item x="51"/>
        <item x="132"/>
        <item x="167"/>
        <item x="175"/>
        <item x="82"/>
        <item x="172"/>
        <item x="89"/>
        <item x="61"/>
        <item x="139"/>
        <item x="163"/>
        <item x="31"/>
        <item x="16"/>
        <item x="185"/>
        <item x="7"/>
        <item x="40"/>
        <item x="38"/>
        <item x="142"/>
        <item x="1"/>
        <item x="80"/>
        <item x="94"/>
        <item x="77"/>
        <item x="134"/>
        <item x="15"/>
        <item x="128"/>
        <item x="151"/>
        <item x="20"/>
        <item x="74"/>
        <item x="161"/>
        <item x="92"/>
        <item x="58"/>
        <item x="47"/>
        <item x="143"/>
        <item x="99"/>
        <item x="162"/>
        <item x="179"/>
        <item x="105"/>
        <item x="108"/>
        <item x="186"/>
        <item x="157"/>
        <item x="184"/>
        <item x="21"/>
        <item x="101"/>
        <item x="83"/>
        <item x="79"/>
        <item x="153"/>
        <item x="138"/>
        <item x="23"/>
        <item x="122"/>
        <item x="42"/>
        <item x="164"/>
        <item x="19"/>
        <item x="171"/>
        <item x="67"/>
        <item x="70"/>
        <item x="68"/>
        <item x="93"/>
        <item x="86"/>
        <item x="129"/>
        <item x="174"/>
        <item x="152"/>
        <item x="50"/>
        <item x="149"/>
        <item x="173"/>
        <item x="170"/>
        <item x="98"/>
        <item x="62"/>
        <item x="63"/>
        <item x="90"/>
        <item x="133"/>
        <item x="131"/>
        <item x="130"/>
        <item x="160"/>
        <item x="159"/>
        <item x="65"/>
        <item x="178"/>
        <item x="33"/>
        <item x="127"/>
        <item x="116"/>
        <item x="102"/>
        <item x="110"/>
        <item x="158"/>
        <item x="66"/>
        <item x="13"/>
        <item x="150"/>
        <item x="182"/>
        <item x="176"/>
        <item x="59"/>
        <item x="154"/>
        <item x="64"/>
        <item x="10"/>
        <item x="73"/>
        <item x="100"/>
        <item x="120"/>
        <item x="113"/>
        <item x="96"/>
        <item x="37"/>
        <item x="5"/>
        <item x="49"/>
        <item x="144"/>
        <item x="121"/>
        <item x="140"/>
        <item x="141"/>
        <item x="126"/>
        <item x="114"/>
        <item x="103"/>
        <item x="124"/>
        <item x="125"/>
        <item x="115"/>
        <item x="54"/>
        <item x="145"/>
        <item x="8"/>
        <item x="25"/>
        <item x="6"/>
        <item x="22"/>
        <item x="28"/>
        <item x="118"/>
        <item x="3"/>
        <item x="24"/>
        <item x="39"/>
        <item x="135"/>
        <item x="104"/>
        <item x="26"/>
        <item x="18"/>
        <item x="136"/>
        <item x="148"/>
        <item x="30"/>
        <item x="119"/>
        <item x="155"/>
        <item x="72"/>
        <item x="146"/>
        <item x="78"/>
        <item x="57"/>
        <item x="2"/>
        <item x="180"/>
        <item x="60"/>
        <item x="177"/>
        <item x="107"/>
        <item x="69"/>
        <item x="32"/>
        <item x="29"/>
        <item x="11"/>
        <item x="55"/>
        <item x="88"/>
        <item t="default"/>
      </items>
    </pivotField>
    <pivotField dataField="1" showAll="0"/>
    <pivotField showAll="0"/>
    <pivotField showAll="0"/>
    <pivotField showAll="0"/>
    <pivotField showAll="0"/>
    <pivotField showAll="0"/>
    <pivotField showAll="0"/>
    <pivotField showAll="0"/>
    <pivotField showAll="0">
      <items count="8">
        <item x="3"/>
        <item x="4"/>
        <item x="0"/>
        <item x="1"/>
        <item x="5"/>
        <item x="6"/>
        <item x="2"/>
        <item t="default"/>
      </items>
    </pivotField>
    <pivotField showAll="0"/>
    <pivotField showAll="0"/>
    <pivotField showAll="0"/>
    <pivotField showAll="0"/>
    <pivotField showAll="0"/>
    <pivotField showAll="0"/>
    <pivotField showAll="0"/>
    <pivotField showAll="0"/>
  </pivotFields>
  <rowFields count="2">
    <field x="0"/>
    <field x="1"/>
  </rowFields>
  <rowItems count="21">
    <i>
      <x v="153"/>
    </i>
    <i r="1">
      <x v="38"/>
    </i>
    <i>
      <x v="123"/>
    </i>
    <i r="1">
      <x v="61"/>
    </i>
    <i>
      <x v="151"/>
    </i>
    <i r="1">
      <x v="34"/>
    </i>
    <i>
      <x v="43"/>
    </i>
    <i r="1">
      <x v="140"/>
    </i>
    <i>
      <x v="3"/>
    </i>
    <i r="1">
      <x v="184"/>
    </i>
    <i>
      <x v="180"/>
    </i>
    <i r="1">
      <x v="7"/>
    </i>
    <i>
      <x v="25"/>
    </i>
    <i r="1">
      <x v="152"/>
    </i>
    <i>
      <x v="149"/>
    </i>
    <i r="1">
      <x v="20"/>
    </i>
    <i>
      <x v="35"/>
    </i>
    <i r="1">
      <x v="145"/>
    </i>
    <i>
      <x v="129"/>
    </i>
    <i r="1">
      <x v="55"/>
    </i>
    <i t="grand">
      <x/>
    </i>
  </rowItems>
  <colItems count="1">
    <i/>
  </colItems>
  <dataFields count="1">
    <dataField name="Sum of Price (USD)" fld="2" baseField="0" baseItem="0"/>
  </dataFields>
  <pivotTableStyleInfo name="PivotStyleLight16" showRowHeaders="1" showColHeaders="1" showRowStripes="0" showColStripes="0" showLastColumn="1"/>
  <filters count="1">
    <filter fld="0"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4BFE7AE-CE5C-4950-8AC1-F88D8CA5CDA0}"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378" firstHeaderRow="0" firstDataRow="1" firstDataCol="1" rowPageCount="1" colPageCount="1"/>
  <pivotFields count="19">
    <pivotField axis="axisRow" showAll="0" sortType="ascending">
      <items count="188">
        <item x="88"/>
        <item x="139"/>
        <item x="29"/>
        <item x="11"/>
        <item x="32"/>
        <item x="2"/>
        <item x="78"/>
        <item x="146"/>
        <item x="72"/>
        <item x="175"/>
        <item x="30"/>
        <item x="136"/>
        <item x="18"/>
        <item x="66"/>
        <item x="104"/>
        <item x="26"/>
        <item x="135"/>
        <item x="39"/>
        <item x="25"/>
        <item x="6"/>
        <item x="144"/>
        <item x="184"/>
        <item x="124"/>
        <item x="8"/>
        <item x="145"/>
        <item x="54"/>
        <item x="42"/>
        <item x="173"/>
        <item x="3"/>
        <item x="115"/>
        <item x="125"/>
        <item x="60"/>
        <item x="103"/>
        <item x="114"/>
        <item x="126"/>
        <item x="141"/>
        <item x="120"/>
        <item x="37"/>
        <item x="140"/>
        <item x="121"/>
        <item x="118"/>
        <item x="49"/>
        <item x="167"/>
        <item x="5"/>
        <item x="96"/>
        <item x="113"/>
        <item x="176"/>
        <item x="131"/>
        <item x="73"/>
        <item x="10"/>
        <item x="100"/>
        <item x="64"/>
        <item x="154"/>
        <item x="57"/>
        <item x="59"/>
        <item x="182"/>
        <item x="13"/>
        <item x="158"/>
        <item x="110"/>
        <item x="102"/>
        <item x="116"/>
        <item x="148"/>
        <item x="150"/>
        <item x="33"/>
        <item x="55"/>
        <item x="178"/>
        <item x="79"/>
        <item x="65"/>
        <item x="127"/>
        <item x="159"/>
        <item x="129"/>
        <item x="160"/>
        <item x="130"/>
        <item x="133"/>
        <item x="62"/>
        <item x="143"/>
        <item x="24"/>
        <item x="91"/>
        <item x="98"/>
        <item x="170"/>
        <item x="180"/>
        <item x="149"/>
        <item x="152"/>
        <item x="86"/>
        <item x="67"/>
        <item x="68"/>
        <item x="50"/>
        <item x="70"/>
        <item x="174"/>
        <item x="171"/>
        <item x="93"/>
        <item x="164"/>
        <item x="23"/>
        <item x="138"/>
        <item x="122"/>
        <item x="153"/>
        <item x="83"/>
        <item x="21"/>
        <item x="101"/>
        <item x="157"/>
        <item x="186"/>
        <item x="108"/>
        <item x="105"/>
        <item x="179"/>
        <item x="162"/>
        <item x="99"/>
        <item x="47"/>
        <item x="28"/>
        <item x="92"/>
        <item x="161"/>
        <item x="58"/>
        <item x="74"/>
        <item x="151"/>
        <item x="107"/>
        <item x="128"/>
        <item x="15"/>
        <item x="20"/>
        <item x="134"/>
        <item x="22"/>
        <item x="77"/>
        <item x="177"/>
        <item x="94"/>
        <item x="185"/>
        <item x="1"/>
        <item x="142"/>
        <item x="38"/>
        <item x="31"/>
        <item x="80"/>
        <item x="7"/>
        <item x="16"/>
        <item x="40"/>
        <item x="163"/>
        <item x="19"/>
        <item x="61"/>
        <item x="172"/>
        <item x="155"/>
        <item x="89"/>
        <item x="85"/>
        <item x="119"/>
        <item x="48"/>
        <item x="82"/>
        <item x="132"/>
        <item x="165"/>
        <item x="51"/>
        <item x="183"/>
        <item x="9"/>
        <item x="95"/>
        <item x="17"/>
        <item x="81"/>
        <item x="56"/>
        <item x="156"/>
        <item x="4"/>
        <item x="14"/>
        <item x="0"/>
        <item x="109"/>
        <item x="43"/>
        <item x="112"/>
        <item x="27"/>
        <item x="147"/>
        <item x="111"/>
        <item x="36"/>
        <item x="168"/>
        <item x="123"/>
        <item x="53"/>
        <item x="63"/>
        <item x="35"/>
        <item x="45"/>
        <item x="76"/>
        <item x="46"/>
        <item x="44"/>
        <item x="52"/>
        <item x="41"/>
        <item x="75"/>
        <item x="90"/>
        <item x="106"/>
        <item x="169"/>
        <item x="84"/>
        <item x="34"/>
        <item x="117"/>
        <item x="166"/>
        <item x="97"/>
        <item x="87"/>
        <item x="181"/>
        <item x="71"/>
        <item x="137"/>
        <item x="12"/>
        <item x="69"/>
        <item t="default"/>
      </items>
      <autoSortScope>
        <pivotArea dataOnly="0" outline="0" fieldPosition="0">
          <references count="1">
            <reference field="4294967294" count="1" selected="0">
              <x v="0"/>
            </reference>
          </references>
        </pivotArea>
      </autoSortScope>
    </pivotField>
    <pivotField axis="axisRow" showAll="0">
      <items count="188">
        <item x="12"/>
        <item x="137"/>
        <item x="71"/>
        <item x="9"/>
        <item x="181"/>
        <item x="84"/>
        <item x="87"/>
        <item x="97"/>
        <item x="91"/>
        <item x="166"/>
        <item x="117"/>
        <item x="52"/>
        <item x="34"/>
        <item x="169"/>
        <item x="106"/>
        <item x="75"/>
        <item x="41"/>
        <item x="44"/>
        <item x="46"/>
        <item x="76"/>
        <item x="56"/>
        <item x="45"/>
        <item x="35"/>
        <item x="17"/>
        <item x="53"/>
        <item x="36"/>
        <item x="168"/>
        <item x="48"/>
        <item x="111"/>
        <item x="27"/>
        <item x="147"/>
        <item x="112"/>
        <item x="85"/>
        <item x="43"/>
        <item x="4"/>
        <item x="81"/>
        <item x="156"/>
        <item x="109"/>
        <item x="0"/>
        <item x="14"/>
        <item x="95"/>
        <item x="123"/>
        <item x="183"/>
        <item x="165"/>
        <item x="51"/>
        <item x="132"/>
        <item x="167"/>
        <item x="175"/>
        <item x="82"/>
        <item x="172"/>
        <item x="89"/>
        <item x="61"/>
        <item x="139"/>
        <item x="163"/>
        <item x="31"/>
        <item x="16"/>
        <item x="185"/>
        <item x="7"/>
        <item x="40"/>
        <item x="38"/>
        <item x="142"/>
        <item x="1"/>
        <item x="80"/>
        <item x="94"/>
        <item x="77"/>
        <item x="134"/>
        <item x="15"/>
        <item x="128"/>
        <item x="151"/>
        <item x="20"/>
        <item x="74"/>
        <item x="161"/>
        <item x="92"/>
        <item x="58"/>
        <item x="47"/>
        <item x="143"/>
        <item x="99"/>
        <item x="162"/>
        <item x="179"/>
        <item x="105"/>
        <item x="108"/>
        <item x="186"/>
        <item x="157"/>
        <item x="184"/>
        <item x="21"/>
        <item x="101"/>
        <item x="83"/>
        <item x="79"/>
        <item x="153"/>
        <item x="138"/>
        <item x="23"/>
        <item x="122"/>
        <item x="42"/>
        <item x="164"/>
        <item x="19"/>
        <item x="171"/>
        <item x="67"/>
        <item x="70"/>
        <item x="68"/>
        <item x="93"/>
        <item x="86"/>
        <item x="129"/>
        <item x="174"/>
        <item x="152"/>
        <item x="50"/>
        <item x="149"/>
        <item x="173"/>
        <item x="170"/>
        <item x="98"/>
        <item x="62"/>
        <item x="63"/>
        <item x="90"/>
        <item x="133"/>
        <item x="131"/>
        <item x="130"/>
        <item x="160"/>
        <item x="159"/>
        <item x="65"/>
        <item x="178"/>
        <item x="33"/>
        <item x="127"/>
        <item x="116"/>
        <item x="102"/>
        <item x="110"/>
        <item x="158"/>
        <item x="66"/>
        <item x="13"/>
        <item x="150"/>
        <item x="182"/>
        <item x="176"/>
        <item x="59"/>
        <item x="154"/>
        <item x="64"/>
        <item x="10"/>
        <item x="73"/>
        <item x="100"/>
        <item x="120"/>
        <item x="113"/>
        <item x="96"/>
        <item x="37"/>
        <item x="5"/>
        <item x="49"/>
        <item x="144"/>
        <item x="121"/>
        <item x="140"/>
        <item x="141"/>
        <item x="126"/>
        <item x="114"/>
        <item x="103"/>
        <item x="124"/>
        <item x="125"/>
        <item x="115"/>
        <item x="54"/>
        <item x="145"/>
        <item x="8"/>
        <item x="25"/>
        <item x="6"/>
        <item x="22"/>
        <item x="28"/>
        <item x="118"/>
        <item x="3"/>
        <item x="24"/>
        <item x="39"/>
        <item x="135"/>
        <item x="104"/>
        <item x="26"/>
        <item x="18"/>
        <item x="136"/>
        <item x="148"/>
        <item x="30"/>
        <item x="119"/>
        <item x="155"/>
        <item x="72"/>
        <item x="146"/>
        <item x="78"/>
        <item x="57"/>
        <item x="2"/>
        <item x="180"/>
        <item x="60"/>
        <item x="177"/>
        <item x="107"/>
        <item x="69"/>
        <item x="32"/>
        <item x="29"/>
        <item x="11"/>
        <item x="55"/>
        <item x="88"/>
        <item t="default"/>
      </items>
    </pivotField>
    <pivotField dataField="1" showAll="0"/>
    <pivotField showAll="0"/>
    <pivotField showAll="0"/>
    <pivotField showAll="0"/>
    <pivotField showAll="0"/>
    <pivotField showAll="0"/>
    <pivotField showAll="0"/>
    <pivotField showAll="0"/>
    <pivotField showAll="0"/>
    <pivotField showAll="0"/>
    <pivotField showAll="0"/>
    <pivotField name=" Price Range " axis="axisPage" multipleItemSelectionAllowed="1" showAll="0">
      <items count="6">
        <item x="0"/>
        <item x="4"/>
        <item x="2"/>
        <item x="1"/>
        <item x="3"/>
        <item t="default"/>
      </items>
    </pivotField>
    <pivotField dataField="1" showAll="0"/>
    <pivotField showAll="0"/>
    <pivotField showAll="0"/>
    <pivotField showAll="0"/>
    <pivotField showAll="0"/>
  </pivotFields>
  <rowFields count="2">
    <field x="0"/>
    <field x="1"/>
  </rowFields>
  <rowItems count="375">
    <i>
      <x v="90"/>
    </i>
    <i r="1">
      <x v="99"/>
    </i>
    <i>
      <x v="59"/>
    </i>
    <i r="1">
      <x v="122"/>
    </i>
    <i>
      <x v="69"/>
    </i>
    <i r="1">
      <x v="116"/>
    </i>
    <i>
      <x v="18"/>
    </i>
    <i r="1">
      <x v="155"/>
    </i>
    <i>
      <x v="136"/>
    </i>
    <i r="1">
      <x v="50"/>
    </i>
    <i>
      <x v="176"/>
    </i>
    <i r="1">
      <x v="5"/>
    </i>
    <i>
      <x v="31"/>
    </i>
    <i r="1">
      <x v="178"/>
    </i>
    <i>
      <x v="122"/>
    </i>
    <i r="1">
      <x v="56"/>
    </i>
    <i>
      <x v="26"/>
    </i>
    <i r="1">
      <x v="92"/>
    </i>
    <i>
      <x v="126"/>
    </i>
    <i r="1">
      <x v="54"/>
    </i>
    <i>
      <x v="49"/>
    </i>
    <i r="1">
      <x v="133"/>
    </i>
    <i>
      <x v="165"/>
    </i>
    <i r="1">
      <x v="22"/>
    </i>
    <i>
      <x v="32"/>
    </i>
    <i r="1">
      <x v="148"/>
    </i>
    <i>
      <x v="4"/>
    </i>
    <i r="1">
      <x v="182"/>
    </i>
    <i>
      <x v="172"/>
    </i>
    <i r="1">
      <x v="15"/>
    </i>
    <i>
      <x v="21"/>
    </i>
    <i r="1">
      <x v="83"/>
    </i>
    <i>
      <x v="118"/>
    </i>
    <i r="1">
      <x v="157"/>
    </i>
    <i>
      <x v="70"/>
    </i>
    <i r="1">
      <x v="101"/>
    </i>
    <i>
      <x v="169"/>
    </i>
    <i r="1">
      <x v="17"/>
    </i>
    <i>
      <x v="85"/>
    </i>
    <i r="1">
      <x v="98"/>
    </i>
    <i>
      <x v="99"/>
    </i>
    <i r="1">
      <x v="82"/>
    </i>
    <i>
      <x v="107"/>
    </i>
    <i r="1">
      <x v="158"/>
    </i>
    <i>
      <x v="20"/>
    </i>
    <i r="1">
      <x v="142"/>
    </i>
    <i>
      <x v="173"/>
    </i>
    <i r="1">
      <x v="111"/>
    </i>
    <i>
      <x/>
    </i>
    <i r="1">
      <x v="186"/>
    </i>
    <i>
      <x v="62"/>
    </i>
    <i r="1">
      <x v="127"/>
    </i>
    <i>
      <x v="65"/>
    </i>
    <i r="1">
      <x v="118"/>
    </i>
    <i>
      <x v="116"/>
    </i>
    <i r="1">
      <x v="69"/>
    </i>
    <i>
      <x v="10"/>
    </i>
    <i r="1">
      <x v="169"/>
    </i>
    <i>
      <x v="121"/>
    </i>
    <i r="1">
      <x v="63"/>
    </i>
    <i>
      <x v="40"/>
    </i>
    <i r="1">
      <x v="159"/>
    </i>
    <i>
      <x v="58"/>
    </i>
    <i r="1">
      <x v="123"/>
    </i>
    <i>
      <x v="37"/>
    </i>
    <i r="1">
      <x v="139"/>
    </i>
    <i>
      <x v="152"/>
    </i>
    <i r="1">
      <x v="39"/>
    </i>
    <i>
      <x v="47"/>
    </i>
    <i r="1">
      <x v="113"/>
    </i>
    <i>
      <x v="19"/>
    </i>
    <i r="1">
      <x v="156"/>
    </i>
    <i>
      <x v="83"/>
    </i>
    <i r="1">
      <x v="100"/>
    </i>
    <i>
      <x v="170"/>
    </i>
    <i r="1">
      <x v="11"/>
    </i>
    <i>
      <x v="28"/>
    </i>
    <i r="1">
      <x v="160"/>
    </i>
    <i>
      <x v="146"/>
    </i>
    <i r="1">
      <x v="40"/>
    </i>
    <i>
      <x v="163"/>
    </i>
    <i r="1">
      <x v="24"/>
    </i>
    <i>
      <x v="161"/>
    </i>
    <i r="1">
      <x v="26"/>
    </i>
    <i>
      <x v="1"/>
    </i>
    <i r="1">
      <x v="52"/>
    </i>
    <i>
      <x v="138"/>
    </i>
    <i r="1">
      <x v="170"/>
    </i>
    <i>
      <x v="86"/>
    </i>
    <i r="1">
      <x v="104"/>
    </i>
    <i>
      <x v="158"/>
    </i>
    <i r="1">
      <x v="30"/>
    </i>
    <i>
      <x v="23"/>
    </i>
    <i r="1">
      <x v="154"/>
    </i>
    <i>
      <x v="171"/>
    </i>
    <i r="1">
      <x v="16"/>
    </i>
    <i>
      <x v="184"/>
    </i>
    <i r="1">
      <x v="1"/>
    </i>
    <i>
      <x v="11"/>
    </i>
    <i r="1">
      <x v="167"/>
    </i>
    <i>
      <x v="76"/>
    </i>
    <i r="1">
      <x v="161"/>
    </i>
    <i>
      <x v="147"/>
    </i>
    <i r="1">
      <x v="23"/>
    </i>
    <i>
      <x v="50"/>
    </i>
    <i r="1">
      <x v="135"/>
    </i>
    <i>
      <x v="9"/>
    </i>
    <i r="1">
      <x v="47"/>
    </i>
    <i>
      <x v="87"/>
    </i>
    <i r="1">
      <x v="97"/>
    </i>
    <i>
      <x v="117"/>
    </i>
    <i r="1">
      <x v="65"/>
    </i>
    <i>
      <x v="113"/>
    </i>
    <i r="1">
      <x v="180"/>
    </i>
    <i>
      <x v="89"/>
    </i>
    <i r="1">
      <x v="95"/>
    </i>
    <i>
      <x v="55"/>
    </i>
    <i r="1">
      <x v="128"/>
    </i>
    <i>
      <x v="155"/>
    </i>
    <i r="1">
      <x v="33"/>
    </i>
    <i>
      <x v="181"/>
    </i>
    <i r="1">
      <x v="6"/>
    </i>
    <i>
      <x v="94"/>
    </i>
    <i r="1">
      <x v="91"/>
    </i>
    <i>
      <x v="102"/>
    </i>
    <i r="1">
      <x v="79"/>
    </i>
    <i>
      <x v="53"/>
    </i>
    <i r="1">
      <x v="175"/>
    </i>
    <i>
      <x v="182"/>
    </i>
    <i r="1">
      <x v="4"/>
    </i>
    <i>
      <x v="79"/>
    </i>
    <i r="1">
      <x v="107"/>
    </i>
    <i>
      <x v="111"/>
    </i>
    <i r="1">
      <x v="70"/>
    </i>
    <i>
      <x v="115"/>
    </i>
    <i r="1">
      <x v="66"/>
    </i>
    <i>
      <x v="114"/>
    </i>
    <i r="1">
      <x v="67"/>
    </i>
    <i>
      <x v="2"/>
    </i>
    <i r="1">
      <x v="183"/>
    </i>
    <i>
      <x v="135"/>
    </i>
    <i r="1">
      <x v="171"/>
    </i>
    <i>
      <x v="133"/>
    </i>
    <i r="1">
      <x v="51"/>
    </i>
    <i>
      <x v="109"/>
    </i>
    <i r="1">
      <x v="71"/>
    </i>
    <i>
      <x v="73"/>
    </i>
    <i r="1">
      <x v="112"/>
    </i>
    <i>
      <x v="167"/>
    </i>
    <i r="1">
      <x v="19"/>
    </i>
    <i>
      <x v="17"/>
    </i>
    <i r="1">
      <x v="162"/>
    </i>
    <i>
      <x v="166"/>
    </i>
    <i r="1">
      <x v="21"/>
    </i>
    <i>
      <x v="64"/>
    </i>
    <i r="1">
      <x v="185"/>
    </i>
    <i>
      <x v="149"/>
    </i>
    <i r="1">
      <x v="20"/>
    </i>
    <i>
      <x v="92"/>
    </i>
    <i r="1">
      <x v="90"/>
    </i>
    <i>
      <x v="61"/>
    </i>
    <i r="1">
      <x v="168"/>
    </i>
    <i>
      <x v="134"/>
    </i>
    <i r="1">
      <x v="49"/>
    </i>
    <i>
      <x v="157"/>
    </i>
    <i r="1">
      <x v="29"/>
    </i>
    <i>
      <x v="25"/>
    </i>
    <i r="1">
      <x v="152"/>
    </i>
    <i>
      <x v="151"/>
    </i>
    <i r="1">
      <x v="34"/>
    </i>
    <i>
      <x v="164"/>
    </i>
    <i r="1">
      <x v="110"/>
    </i>
    <i>
      <x v="162"/>
    </i>
    <i r="1">
      <x v="41"/>
    </i>
    <i>
      <x v="183"/>
    </i>
    <i r="1">
      <x v="2"/>
    </i>
    <i>
      <x v="100"/>
    </i>
    <i r="1">
      <x v="81"/>
    </i>
    <i>
      <x v="82"/>
    </i>
    <i r="1">
      <x v="103"/>
    </i>
    <i>
      <x v="101"/>
    </i>
    <i r="1">
      <x v="80"/>
    </i>
    <i>
      <x v="57"/>
    </i>
    <i r="1">
      <x v="124"/>
    </i>
    <i>
      <x v="129"/>
    </i>
    <i r="1">
      <x v="55"/>
    </i>
    <i>
      <x v="185"/>
    </i>
    <i r="1">
      <x/>
    </i>
    <i>
      <x v="84"/>
    </i>
    <i r="1">
      <x v="96"/>
    </i>
    <i>
      <x v="110"/>
    </i>
    <i r="1">
      <x v="73"/>
    </i>
    <i>
      <x v="104"/>
    </i>
    <i r="1">
      <x v="77"/>
    </i>
    <i>
      <x v="38"/>
    </i>
    <i r="1">
      <x v="144"/>
    </i>
    <i>
      <x v="145"/>
    </i>
    <i r="1">
      <x v="3"/>
    </i>
    <i>
      <x v="179"/>
    </i>
    <i r="1">
      <x v="9"/>
    </i>
    <i>
      <x v="12"/>
    </i>
    <i r="1">
      <x v="166"/>
    </i>
    <i>
      <x v="27"/>
    </i>
    <i r="1">
      <x v="106"/>
    </i>
    <i>
      <x v="36"/>
    </i>
    <i r="1">
      <x v="136"/>
    </i>
    <i>
      <x v="148"/>
    </i>
    <i r="1">
      <x v="35"/>
    </i>
    <i>
      <x v="139"/>
    </i>
    <i r="1">
      <x v="27"/>
    </i>
    <i>
      <x v="141"/>
    </i>
    <i r="1">
      <x v="45"/>
    </i>
    <i>
      <x v="60"/>
    </i>
    <i r="1">
      <x v="121"/>
    </i>
    <i>
      <x v="132"/>
    </i>
    <i r="1">
      <x v="94"/>
    </i>
    <i>
      <x v="13"/>
    </i>
    <i r="1">
      <x v="125"/>
    </i>
    <i>
      <x v="14"/>
    </i>
    <i r="1">
      <x v="164"/>
    </i>
    <i>
      <x v="30"/>
    </i>
    <i r="1">
      <x v="150"/>
    </i>
    <i>
      <x v="131"/>
    </i>
    <i r="1">
      <x v="53"/>
    </i>
    <i>
      <x v="88"/>
    </i>
    <i r="1">
      <x v="102"/>
    </i>
    <i>
      <x v="34"/>
    </i>
    <i r="1">
      <x v="146"/>
    </i>
    <i>
      <x v="123"/>
    </i>
    <i r="1">
      <x v="61"/>
    </i>
    <i>
      <x v="125"/>
    </i>
    <i r="1">
      <x v="59"/>
    </i>
    <i>
      <x v="68"/>
    </i>
    <i r="1">
      <x v="120"/>
    </i>
    <i>
      <x v="63"/>
    </i>
    <i r="1">
      <x v="119"/>
    </i>
    <i>
      <x v="67"/>
    </i>
    <i r="1">
      <x v="117"/>
    </i>
    <i>
      <x v="5"/>
    </i>
    <i r="1">
      <x v="176"/>
    </i>
    <i>
      <x v="159"/>
    </i>
    <i r="1">
      <x v="28"/>
    </i>
    <i>
      <x v="105"/>
    </i>
    <i r="1">
      <x v="76"/>
    </i>
    <i>
      <x v="97"/>
    </i>
    <i r="1">
      <x v="84"/>
    </i>
    <i>
      <x v="160"/>
    </i>
    <i r="1">
      <x v="25"/>
    </i>
    <i>
      <x v="180"/>
    </i>
    <i r="1">
      <x v="7"/>
    </i>
    <i>
      <x v="140"/>
    </i>
    <i r="1">
      <x v="48"/>
    </i>
    <i>
      <x v="29"/>
    </i>
    <i r="1">
      <x v="151"/>
    </i>
    <i>
      <x v="143"/>
    </i>
    <i r="1">
      <x v="44"/>
    </i>
    <i>
      <x v="77"/>
    </i>
    <i r="1">
      <x v="8"/>
    </i>
    <i>
      <x v="168"/>
    </i>
    <i r="1">
      <x v="18"/>
    </i>
    <i>
      <x v="56"/>
    </i>
    <i r="1">
      <x v="126"/>
    </i>
    <i>
      <x v="98"/>
    </i>
    <i r="1">
      <x v="85"/>
    </i>
    <i>
      <x v="95"/>
    </i>
    <i r="1">
      <x v="88"/>
    </i>
    <i>
      <x v="144"/>
    </i>
    <i r="1">
      <x v="42"/>
    </i>
    <i>
      <x v="51"/>
    </i>
    <i r="1">
      <x v="132"/>
    </i>
    <i>
      <x v="15"/>
    </i>
    <i r="1">
      <x v="165"/>
    </i>
    <i>
      <x v="22"/>
    </i>
    <i r="1">
      <x v="149"/>
    </i>
    <i>
      <x v="175"/>
    </i>
    <i r="1">
      <x v="13"/>
    </i>
    <i>
      <x v="48"/>
    </i>
    <i r="1">
      <x v="134"/>
    </i>
    <i>
      <x v="127"/>
    </i>
    <i r="1">
      <x v="62"/>
    </i>
    <i>
      <x v="128"/>
    </i>
    <i r="1">
      <x v="57"/>
    </i>
    <i>
      <x v="153"/>
    </i>
    <i r="1">
      <x v="38"/>
    </i>
    <i>
      <x v="112"/>
    </i>
    <i r="1">
      <x v="68"/>
    </i>
    <i>
      <x v="119"/>
    </i>
    <i r="1">
      <x v="64"/>
    </i>
    <i>
      <x v="142"/>
    </i>
    <i r="1">
      <x v="43"/>
    </i>
    <i>
      <x v="80"/>
    </i>
    <i r="1">
      <x v="177"/>
    </i>
    <i>
      <x v="71"/>
    </i>
    <i r="1">
      <x v="115"/>
    </i>
    <i>
      <x v="44"/>
    </i>
    <i r="1">
      <x v="138"/>
    </i>
    <i>
      <x v="41"/>
    </i>
    <i r="1">
      <x v="141"/>
    </i>
    <i>
      <x v="43"/>
    </i>
    <i r="1">
      <x v="140"/>
    </i>
    <i>
      <x v="186"/>
    </i>
    <i r="1">
      <x v="181"/>
    </i>
    <i>
      <x v="3"/>
    </i>
    <i r="1">
      <x v="184"/>
    </i>
    <i>
      <x v="174"/>
    </i>
    <i r="1">
      <x v="14"/>
    </i>
    <i>
      <x v="33"/>
    </i>
    <i r="1">
      <x v="147"/>
    </i>
    <i>
      <x v="106"/>
    </i>
    <i r="1">
      <x v="74"/>
    </i>
    <i>
      <x v="8"/>
    </i>
    <i r="1">
      <x v="172"/>
    </i>
    <i>
      <x v="75"/>
    </i>
    <i r="1">
      <x v="75"/>
    </i>
    <i>
      <x v="178"/>
    </i>
    <i r="1">
      <x v="10"/>
    </i>
    <i>
      <x v="137"/>
    </i>
    <i r="1">
      <x v="32"/>
    </i>
    <i>
      <x v="52"/>
    </i>
    <i r="1">
      <x v="131"/>
    </i>
    <i>
      <x v="81"/>
    </i>
    <i r="1">
      <x v="105"/>
    </i>
    <i>
      <x v="78"/>
    </i>
    <i r="1">
      <x v="108"/>
    </i>
    <i>
      <x v="46"/>
    </i>
    <i r="1">
      <x v="129"/>
    </i>
    <i>
      <x v="108"/>
    </i>
    <i r="1">
      <x v="72"/>
    </i>
    <i>
      <x v="96"/>
    </i>
    <i r="1">
      <x v="86"/>
    </i>
    <i>
      <x v="154"/>
    </i>
    <i r="1">
      <x v="37"/>
    </i>
    <i>
      <x v="150"/>
    </i>
    <i r="1">
      <x v="36"/>
    </i>
    <i>
      <x v="39"/>
    </i>
    <i r="1">
      <x v="143"/>
    </i>
    <i>
      <x v="35"/>
    </i>
    <i r="1">
      <x v="145"/>
    </i>
    <i>
      <x v="74"/>
    </i>
    <i r="1">
      <x v="109"/>
    </i>
    <i>
      <x v="124"/>
    </i>
    <i r="1">
      <x v="60"/>
    </i>
    <i>
      <x v="54"/>
    </i>
    <i r="1">
      <x v="130"/>
    </i>
    <i>
      <x v="177"/>
    </i>
    <i r="1">
      <x v="12"/>
    </i>
    <i>
      <x v="130"/>
    </i>
    <i r="1">
      <x v="58"/>
    </i>
    <i>
      <x v="24"/>
    </i>
    <i r="1">
      <x v="153"/>
    </i>
    <i>
      <x v="16"/>
    </i>
    <i r="1">
      <x v="163"/>
    </i>
    <i>
      <x v="66"/>
    </i>
    <i r="1">
      <x v="87"/>
    </i>
    <i>
      <x v="42"/>
    </i>
    <i r="1">
      <x v="46"/>
    </i>
    <i>
      <x v="45"/>
    </i>
    <i r="1">
      <x v="137"/>
    </i>
    <i>
      <x v="91"/>
    </i>
    <i r="1">
      <x v="93"/>
    </i>
    <i>
      <x v="120"/>
    </i>
    <i r="1">
      <x v="179"/>
    </i>
    <i>
      <x v="6"/>
    </i>
    <i r="1">
      <x v="174"/>
    </i>
    <i>
      <x v="156"/>
    </i>
    <i r="1">
      <x v="31"/>
    </i>
    <i>
      <x v="72"/>
    </i>
    <i r="1">
      <x v="114"/>
    </i>
    <i>
      <x v="93"/>
    </i>
    <i r="1">
      <x v="89"/>
    </i>
    <i>
      <x v="7"/>
    </i>
    <i r="1">
      <x v="173"/>
    </i>
    <i>
      <x v="103"/>
    </i>
    <i r="1">
      <x v="78"/>
    </i>
    <i t="grand">
      <x/>
    </i>
  </rowItems>
  <colFields count="1">
    <field x="-2"/>
  </colFields>
  <colItems count="2">
    <i>
      <x/>
    </i>
    <i i="1">
      <x v="1"/>
    </i>
  </colItems>
  <pageFields count="1">
    <pageField fld="13" hier="-1"/>
  </pageFields>
  <dataFields count="2">
    <dataField name="Min of Average Downfall %" fld="14" subtotal="min" baseField="0" baseItem="0" numFmtId="10"/>
    <dataField name="Min of Price (USD)" fld="2" subtotal="min" baseField="0" baseItem="0" numFmtId="164"/>
  </dataFields>
  <formats count="378">
    <format dxfId="412">
      <pivotArea outline="0" collapsedLevelsAreSubtotals="1" fieldPosition="0">
        <references count="1">
          <reference field="4294967294" count="1" selected="0">
            <x v="1"/>
          </reference>
        </references>
      </pivotArea>
    </format>
    <format dxfId="411">
      <pivotArea dataOnly="0" labelOnly="1" outline="0" fieldPosition="0">
        <references count="1">
          <reference field="4294967294" count="1">
            <x v="1"/>
          </reference>
        </references>
      </pivotArea>
    </format>
    <format dxfId="410">
      <pivotArea outline="0" collapsedLevelsAreSubtotals="1" fieldPosition="0">
        <references count="1">
          <reference field="4294967294" count="1" selected="0">
            <x v="0"/>
          </reference>
        </references>
      </pivotArea>
    </format>
    <format dxfId="409">
      <pivotArea dataOnly="0" labelOnly="1" outline="0" fieldPosition="0">
        <references count="1">
          <reference field="4294967294" count="1">
            <x v="0"/>
          </reference>
        </references>
      </pivotArea>
    </format>
    <format dxfId="408">
      <pivotArea collapsedLevelsAreSubtotals="1" fieldPosition="0">
        <references count="2">
          <reference field="4294967294" count="1" selected="0">
            <x v="0"/>
          </reference>
          <reference field="0" count="1">
            <x v="90"/>
          </reference>
        </references>
      </pivotArea>
    </format>
    <format dxfId="407">
      <pivotArea collapsedLevelsAreSubtotals="1" fieldPosition="0">
        <references count="3">
          <reference field="4294967294" count="1" selected="0">
            <x v="0"/>
          </reference>
          <reference field="0" count="1" selected="0">
            <x v="90"/>
          </reference>
          <reference field="1" count="1">
            <x v="99"/>
          </reference>
        </references>
      </pivotArea>
    </format>
    <format dxfId="406">
      <pivotArea collapsedLevelsAreSubtotals="1" fieldPosition="0">
        <references count="2">
          <reference field="4294967294" count="1" selected="0">
            <x v="0"/>
          </reference>
          <reference field="0" count="1">
            <x v="59"/>
          </reference>
        </references>
      </pivotArea>
    </format>
    <format dxfId="405">
      <pivotArea collapsedLevelsAreSubtotals="1" fieldPosition="0">
        <references count="3">
          <reference field="4294967294" count="1" selected="0">
            <x v="0"/>
          </reference>
          <reference field="0" count="1" selected="0">
            <x v="59"/>
          </reference>
          <reference field="1" count="1">
            <x v="122"/>
          </reference>
        </references>
      </pivotArea>
    </format>
    <format dxfId="404">
      <pivotArea collapsedLevelsAreSubtotals="1" fieldPosition="0">
        <references count="2">
          <reference field="4294967294" count="1" selected="0">
            <x v="0"/>
          </reference>
          <reference field="0" count="1">
            <x v="69"/>
          </reference>
        </references>
      </pivotArea>
    </format>
    <format dxfId="403">
      <pivotArea collapsedLevelsAreSubtotals="1" fieldPosition="0">
        <references count="3">
          <reference field="4294967294" count="1" selected="0">
            <x v="0"/>
          </reference>
          <reference field="0" count="1" selected="0">
            <x v="69"/>
          </reference>
          <reference field="1" count="1">
            <x v="116"/>
          </reference>
        </references>
      </pivotArea>
    </format>
    <format dxfId="402">
      <pivotArea collapsedLevelsAreSubtotals="1" fieldPosition="0">
        <references count="2">
          <reference field="4294967294" count="1" selected="0">
            <x v="0"/>
          </reference>
          <reference field="0" count="1">
            <x v="18"/>
          </reference>
        </references>
      </pivotArea>
    </format>
    <format dxfId="401">
      <pivotArea collapsedLevelsAreSubtotals="1" fieldPosition="0">
        <references count="3">
          <reference field="4294967294" count="1" selected="0">
            <x v="0"/>
          </reference>
          <reference field="0" count="1" selected="0">
            <x v="18"/>
          </reference>
          <reference field="1" count="1">
            <x v="155"/>
          </reference>
        </references>
      </pivotArea>
    </format>
    <format dxfId="400">
      <pivotArea collapsedLevelsAreSubtotals="1" fieldPosition="0">
        <references count="2">
          <reference field="4294967294" count="1" selected="0">
            <x v="0"/>
          </reference>
          <reference field="0" count="1">
            <x v="136"/>
          </reference>
        </references>
      </pivotArea>
    </format>
    <format dxfId="399">
      <pivotArea collapsedLevelsAreSubtotals="1" fieldPosition="0">
        <references count="3">
          <reference field="4294967294" count="1" selected="0">
            <x v="0"/>
          </reference>
          <reference field="0" count="1" selected="0">
            <x v="136"/>
          </reference>
          <reference field="1" count="1">
            <x v="50"/>
          </reference>
        </references>
      </pivotArea>
    </format>
    <format dxfId="398">
      <pivotArea collapsedLevelsAreSubtotals="1" fieldPosition="0">
        <references count="2">
          <reference field="4294967294" count="1" selected="0">
            <x v="0"/>
          </reference>
          <reference field="0" count="1">
            <x v="176"/>
          </reference>
        </references>
      </pivotArea>
    </format>
    <format dxfId="397">
      <pivotArea collapsedLevelsAreSubtotals="1" fieldPosition="0">
        <references count="3">
          <reference field="4294967294" count="1" selected="0">
            <x v="0"/>
          </reference>
          <reference field="0" count="1" selected="0">
            <x v="176"/>
          </reference>
          <reference field="1" count="1">
            <x v="5"/>
          </reference>
        </references>
      </pivotArea>
    </format>
    <format dxfId="396">
      <pivotArea collapsedLevelsAreSubtotals="1" fieldPosition="0">
        <references count="2">
          <reference field="4294967294" count="1" selected="0">
            <x v="0"/>
          </reference>
          <reference field="0" count="1">
            <x v="31"/>
          </reference>
        </references>
      </pivotArea>
    </format>
    <format dxfId="395">
      <pivotArea collapsedLevelsAreSubtotals="1" fieldPosition="0">
        <references count="3">
          <reference field="4294967294" count="1" selected="0">
            <x v="0"/>
          </reference>
          <reference field="0" count="1" selected="0">
            <x v="31"/>
          </reference>
          <reference field="1" count="1">
            <x v="178"/>
          </reference>
        </references>
      </pivotArea>
    </format>
    <format dxfId="394">
      <pivotArea collapsedLevelsAreSubtotals="1" fieldPosition="0">
        <references count="2">
          <reference field="4294967294" count="1" selected="0">
            <x v="0"/>
          </reference>
          <reference field="0" count="1">
            <x v="122"/>
          </reference>
        </references>
      </pivotArea>
    </format>
    <format dxfId="393">
      <pivotArea collapsedLevelsAreSubtotals="1" fieldPosition="0">
        <references count="3">
          <reference field="4294967294" count="1" selected="0">
            <x v="0"/>
          </reference>
          <reference field="0" count="1" selected="0">
            <x v="122"/>
          </reference>
          <reference field="1" count="1">
            <x v="56"/>
          </reference>
        </references>
      </pivotArea>
    </format>
    <format dxfId="392">
      <pivotArea collapsedLevelsAreSubtotals="1" fieldPosition="0">
        <references count="2">
          <reference field="4294967294" count="1" selected="0">
            <x v="0"/>
          </reference>
          <reference field="0" count="1">
            <x v="26"/>
          </reference>
        </references>
      </pivotArea>
    </format>
    <format dxfId="391">
      <pivotArea collapsedLevelsAreSubtotals="1" fieldPosition="0">
        <references count="3">
          <reference field="4294967294" count="1" selected="0">
            <x v="0"/>
          </reference>
          <reference field="0" count="1" selected="0">
            <x v="26"/>
          </reference>
          <reference field="1" count="1">
            <x v="92"/>
          </reference>
        </references>
      </pivotArea>
    </format>
    <format dxfId="390">
      <pivotArea collapsedLevelsAreSubtotals="1" fieldPosition="0">
        <references count="2">
          <reference field="4294967294" count="1" selected="0">
            <x v="0"/>
          </reference>
          <reference field="0" count="1">
            <x v="126"/>
          </reference>
        </references>
      </pivotArea>
    </format>
    <format dxfId="389">
      <pivotArea collapsedLevelsAreSubtotals="1" fieldPosition="0">
        <references count="3">
          <reference field="4294967294" count="1" selected="0">
            <x v="0"/>
          </reference>
          <reference field="0" count="1" selected="0">
            <x v="126"/>
          </reference>
          <reference field="1" count="1">
            <x v="54"/>
          </reference>
        </references>
      </pivotArea>
    </format>
    <format dxfId="388">
      <pivotArea collapsedLevelsAreSubtotals="1" fieldPosition="0">
        <references count="2">
          <reference field="4294967294" count="1" selected="0">
            <x v="0"/>
          </reference>
          <reference field="0" count="1">
            <x v="49"/>
          </reference>
        </references>
      </pivotArea>
    </format>
    <format dxfId="387">
      <pivotArea collapsedLevelsAreSubtotals="1" fieldPosition="0">
        <references count="3">
          <reference field="4294967294" count="1" selected="0">
            <x v="0"/>
          </reference>
          <reference field="0" count="1" selected="0">
            <x v="49"/>
          </reference>
          <reference field="1" count="1">
            <x v="133"/>
          </reference>
        </references>
      </pivotArea>
    </format>
    <format dxfId="386">
      <pivotArea collapsedLevelsAreSubtotals="1" fieldPosition="0">
        <references count="2">
          <reference field="4294967294" count="1" selected="0">
            <x v="0"/>
          </reference>
          <reference field="0" count="1">
            <x v="165"/>
          </reference>
        </references>
      </pivotArea>
    </format>
    <format dxfId="385">
      <pivotArea collapsedLevelsAreSubtotals="1" fieldPosition="0">
        <references count="3">
          <reference field="4294967294" count="1" selected="0">
            <x v="0"/>
          </reference>
          <reference field="0" count="1" selected="0">
            <x v="165"/>
          </reference>
          <reference field="1" count="1">
            <x v="22"/>
          </reference>
        </references>
      </pivotArea>
    </format>
    <format dxfId="384">
      <pivotArea collapsedLevelsAreSubtotals="1" fieldPosition="0">
        <references count="2">
          <reference field="4294967294" count="1" selected="0">
            <x v="0"/>
          </reference>
          <reference field="0" count="1">
            <x v="32"/>
          </reference>
        </references>
      </pivotArea>
    </format>
    <format dxfId="383">
      <pivotArea collapsedLevelsAreSubtotals="1" fieldPosition="0">
        <references count="3">
          <reference field="4294967294" count="1" selected="0">
            <x v="0"/>
          </reference>
          <reference field="0" count="1" selected="0">
            <x v="32"/>
          </reference>
          <reference field="1" count="1">
            <x v="148"/>
          </reference>
        </references>
      </pivotArea>
    </format>
    <format dxfId="382">
      <pivotArea collapsedLevelsAreSubtotals="1" fieldPosition="0">
        <references count="2">
          <reference field="4294967294" count="1" selected="0">
            <x v="0"/>
          </reference>
          <reference field="0" count="1">
            <x v="4"/>
          </reference>
        </references>
      </pivotArea>
    </format>
    <format dxfId="381">
      <pivotArea collapsedLevelsAreSubtotals="1" fieldPosition="0">
        <references count="3">
          <reference field="4294967294" count="1" selected="0">
            <x v="0"/>
          </reference>
          <reference field="0" count="1" selected="0">
            <x v="4"/>
          </reference>
          <reference field="1" count="1">
            <x v="182"/>
          </reference>
        </references>
      </pivotArea>
    </format>
    <format dxfId="380">
      <pivotArea collapsedLevelsAreSubtotals="1" fieldPosition="0">
        <references count="2">
          <reference field="4294967294" count="1" selected="0">
            <x v="0"/>
          </reference>
          <reference field="0" count="1">
            <x v="172"/>
          </reference>
        </references>
      </pivotArea>
    </format>
    <format dxfId="379">
      <pivotArea collapsedLevelsAreSubtotals="1" fieldPosition="0">
        <references count="3">
          <reference field="4294967294" count="1" selected="0">
            <x v="0"/>
          </reference>
          <reference field="0" count="1" selected="0">
            <x v="172"/>
          </reference>
          <reference field="1" count="1">
            <x v="15"/>
          </reference>
        </references>
      </pivotArea>
    </format>
    <format dxfId="378">
      <pivotArea collapsedLevelsAreSubtotals="1" fieldPosition="0">
        <references count="2">
          <reference field="4294967294" count="1" selected="0">
            <x v="0"/>
          </reference>
          <reference field="0" count="1">
            <x v="21"/>
          </reference>
        </references>
      </pivotArea>
    </format>
    <format dxfId="377">
      <pivotArea collapsedLevelsAreSubtotals="1" fieldPosition="0">
        <references count="3">
          <reference field="4294967294" count="1" selected="0">
            <x v="0"/>
          </reference>
          <reference field="0" count="1" selected="0">
            <x v="21"/>
          </reference>
          <reference field="1" count="1">
            <x v="83"/>
          </reference>
        </references>
      </pivotArea>
    </format>
    <format dxfId="376">
      <pivotArea collapsedLevelsAreSubtotals="1" fieldPosition="0">
        <references count="2">
          <reference field="4294967294" count="1" selected="0">
            <x v="0"/>
          </reference>
          <reference field="0" count="1">
            <x v="118"/>
          </reference>
        </references>
      </pivotArea>
    </format>
    <format dxfId="375">
      <pivotArea collapsedLevelsAreSubtotals="1" fieldPosition="0">
        <references count="3">
          <reference field="4294967294" count="1" selected="0">
            <x v="0"/>
          </reference>
          <reference field="0" count="1" selected="0">
            <x v="118"/>
          </reference>
          <reference field="1" count="1">
            <x v="157"/>
          </reference>
        </references>
      </pivotArea>
    </format>
    <format dxfId="374">
      <pivotArea collapsedLevelsAreSubtotals="1" fieldPosition="0">
        <references count="2">
          <reference field="4294967294" count="1" selected="0">
            <x v="0"/>
          </reference>
          <reference field="0" count="1">
            <x v="70"/>
          </reference>
        </references>
      </pivotArea>
    </format>
    <format dxfId="373">
      <pivotArea collapsedLevelsAreSubtotals="1" fieldPosition="0">
        <references count="3">
          <reference field="4294967294" count="1" selected="0">
            <x v="0"/>
          </reference>
          <reference field="0" count="1" selected="0">
            <x v="70"/>
          </reference>
          <reference field="1" count="1">
            <x v="101"/>
          </reference>
        </references>
      </pivotArea>
    </format>
    <format dxfId="372">
      <pivotArea collapsedLevelsAreSubtotals="1" fieldPosition="0">
        <references count="2">
          <reference field="4294967294" count="1" selected="0">
            <x v="0"/>
          </reference>
          <reference field="0" count="1">
            <x v="169"/>
          </reference>
        </references>
      </pivotArea>
    </format>
    <format dxfId="371">
      <pivotArea collapsedLevelsAreSubtotals="1" fieldPosition="0">
        <references count="3">
          <reference field="4294967294" count="1" selected="0">
            <x v="0"/>
          </reference>
          <reference field="0" count="1" selected="0">
            <x v="169"/>
          </reference>
          <reference field="1" count="1">
            <x v="17"/>
          </reference>
        </references>
      </pivotArea>
    </format>
    <format dxfId="370">
      <pivotArea collapsedLevelsAreSubtotals="1" fieldPosition="0">
        <references count="2">
          <reference field="4294967294" count="1" selected="0">
            <x v="0"/>
          </reference>
          <reference field="0" count="1">
            <x v="85"/>
          </reference>
        </references>
      </pivotArea>
    </format>
    <format dxfId="369">
      <pivotArea collapsedLevelsAreSubtotals="1" fieldPosition="0">
        <references count="3">
          <reference field="4294967294" count="1" selected="0">
            <x v="0"/>
          </reference>
          <reference field="0" count="1" selected="0">
            <x v="85"/>
          </reference>
          <reference field="1" count="1">
            <x v="98"/>
          </reference>
        </references>
      </pivotArea>
    </format>
    <format dxfId="368">
      <pivotArea collapsedLevelsAreSubtotals="1" fieldPosition="0">
        <references count="2">
          <reference field="4294967294" count="1" selected="0">
            <x v="0"/>
          </reference>
          <reference field="0" count="1">
            <x v="99"/>
          </reference>
        </references>
      </pivotArea>
    </format>
    <format dxfId="367">
      <pivotArea collapsedLevelsAreSubtotals="1" fieldPosition="0">
        <references count="3">
          <reference field="4294967294" count="1" selected="0">
            <x v="0"/>
          </reference>
          <reference field="0" count="1" selected="0">
            <x v="99"/>
          </reference>
          <reference field="1" count="1">
            <x v="82"/>
          </reference>
        </references>
      </pivotArea>
    </format>
    <format dxfId="366">
      <pivotArea collapsedLevelsAreSubtotals="1" fieldPosition="0">
        <references count="2">
          <reference field="4294967294" count="1" selected="0">
            <x v="0"/>
          </reference>
          <reference field="0" count="1">
            <x v="107"/>
          </reference>
        </references>
      </pivotArea>
    </format>
    <format dxfId="365">
      <pivotArea collapsedLevelsAreSubtotals="1" fieldPosition="0">
        <references count="3">
          <reference field="4294967294" count="1" selected="0">
            <x v="0"/>
          </reference>
          <reference field="0" count="1" selected="0">
            <x v="107"/>
          </reference>
          <reference field="1" count="1">
            <x v="158"/>
          </reference>
        </references>
      </pivotArea>
    </format>
    <format dxfId="364">
      <pivotArea collapsedLevelsAreSubtotals="1" fieldPosition="0">
        <references count="2">
          <reference field="4294967294" count="1" selected="0">
            <x v="0"/>
          </reference>
          <reference field="0" count="1">
            <x v="20"/>
          </reference>
        </references>
      </pivotArea>
    </format>
    <format dxfId="363">
      <pivotArea collapsedLevelsAreSubtotals="1" fieldPosition="0">
        <references count="3">
          <reference field="4294967294" count="1" selected="0">
            <x v="0"/>
          </reference>
          <reference field="0" count="1" selected="0">
            <x v="20"/>
          </reference>
          <reference field="1" count="1">
            <x v="142"/>
          </reference>
        </references>
      </pivotArea>
    </format>
    <format dxfId="362">
      <pivotArea collapsedLevelsAreSubtotals="1" fieldPosition="0">
        <references count="2">
          <reference field="4294967294" count="1" selected="0">
            <x v="0"/>
          </reference>
          <reference field="0" count="1">
            <x v="173"/>
          </reference>
        </references>
      </pivotArea>
    </format>
    <format dxfId="361">
      <pivotArea collapsedLevelsAreSubtotals="1" fieldPosition="0">
        <references count="3">
          <reference field="4294967294" count="1" selected="0">
            <x v="0"/>
          </reference>
          <reference field="0" count="1" selected="0">
            <x v="173"/>
          </reference>
          <reference field="1" count="1">
            <x v="111"/>
          </reference>
        </references>
      </pivotArea>
    </format>
    <format dxfId="360">
      <pivotArea collapsedLevelsAreSubtotals="1" fieldPosition="0">
        <references count="2">
          <reference field="4294967294" count="1" selected="0">
            <x v="0"/>
          </reference>
          <reference field="0" count="1">
            <x v="0"/>
          </reference>
        </references>
      </pivotArea>
    </format>
    <format dxfId="359">
      <pivotArea collapsedLevelsAreSubtotals="1" fieldPosition="0">
        <references count="3">
          <reference field="4294967294" count="1" selected="0">
            <x v="0"/>
          </reference>
          <reference field="0" count="1" selected="0">
            <x v="0"/>
          </reference>
          <reference field="1" count="1">
            <x v="186"/>
          </reference>
        </references>
      </pivotArea>
    </format>
    <format dxfId="358">
      <pivotArea collapsedLevelsAreSubtotals="1" fieldPosition="0">
        <references count="2">
          <reference field="4294967294" count="1" selected="0">
            <x v="0"/>
          </reference>
          <reference field="0" count="1">
            <x v="62"/>
          </reference>
        </references>
      </pivotArea>
    </format>
    <format dxfId="357">
      <pivotArea collapsedLevelsAreSubtotals="1" fieldPosition="0">
        <references count="3">
          <reference field="4294967294" count="1" selected="0">
            <x v="0"/>
          </reference>
          <reference field="0" count="1" selected="0">
            <x v="62"/>
          </reference>
          <reference field="1" count="1">
            <x v="127"/>
          </reference>
        </references>
      </pivotArea>
    </format>
    <format dxfId="356">
      <pivotArea collapsedLevelsAreSubtotals="1" fieldPosition="0">
        <references count="2">
          <reference field="4294967294" count="1" selected="0">
            <x v="0"/>
          </reference>
          <reference field="0" count="1">
            <x v="65"/>
          </reference>
        </references>
      </pivotArea>
    </format>
    <format dxfId="355">
      <pivotArea collapsedLevelsAreSubtotals="1" fieldPosition="0">
        <references count="3">
          <reference field="4294967294" count="1" selected="0">
            <x v="0"/>
          </reference>
          <reference field="0" count="1" selected="0">
            <x v="65"/>
          </reference>
          <reference field="1" count="1">
            <x v="118"/>
          </reference>
        </references>
      </pivotArea>
    </format>
    <format dxfId="354">
      <pivotArea collapsedLevelsAreSubtotals="1" fieldPosition="0">
        <references count="2">
          <reference field="4294967294" count="1" selected="0">
            <x v="0"/>
          </reference>
          <reference field="0" count="1">
            <x v="116"/>
          </reference>
        </references>
      </pivotArea>
    </format>
    <format dxfId="353">
      <pivotArea collapsedLevelsAreSubtotals="1" fieldPosition="0">
        <references count="3">
          <reference field="4294967294" count="1" selected="0">
            <x v="0"/>
          </reference>
          <reference field="0" count="1" selected="0">
            <x v="116"/>
          </reference>
          <reference field="1" count="1">
            <x v="69"/>
          </reference>
        </references>
      </pivotArea>
    </format>
    <format dxfId="352">
      <pivotArea collapsedLevelsAreSubtotals="1" fieldPosition="0">
        <references count="2">
          <reference field="4294967294" count="1" selected="0">
            <x v="0"/>
          </reference>
          <reference field="0" count="1">
            <x v="10"/>
          </reference>
        </references>
      </pivotArea>
    </format>
    <format dxfId="351">
      <pivotArea collapsedLevelsAreSubtotals="1" fieldPosition="0">
        <references count="3">
          <reference field="4294967294" count="1" selected="0">
            <x v="0"/>
          </reference>
          <reference field="0" count="1" selected="0">
            <x v="10"/>
          </reference>
          <reference field="1" count="1">
            <x v="169"/>
          </reference>
        </references>
      </pivotArea>
    </format>
    <format dxfId="350">
      <pivotArea collapsedLevelsAreSubtotals="1" fieldPosition="0">
        <references count="2">
          <reference field="4294967294" count="1" selected="0">
            <x v="0"/>
          </reference>
          <reference field="0" count="1">
            <x v="121"/>
          </reference>
        </references>
      </pivotArea>
    </format>
    <format dxfId="349">
      <pivotArea collapsedLevelsAreSubtotals="1" fieldPosition="0">
        <references count="3">
          <reference field="4294967294" count="1" selected="0">
            <x v="0"/>
          </reference>
          <reference field="0" count="1" selected="0">
            <x v="121"/>
          </reference>
          <reference field="1" count="1">
            <x v="63"/>
          </reference>
        </references>
      </pivotArea>
    </format>
    <format dxfId="348">
      <pivotArea collapsedLevelsAreSubtotals="1" fieldPosition="0">
        <references count="2">
          <reference field="4294967294" count="1" selected="0">
            <x v="0"/>
          </reference>
          <reference field="0" count="1">
            <x v="40"/>
          </reference>
        </references>
      </pivotArea>
    </format>
    <format dxfId="347">
      <pivotArea collapsedLevelsAreSubtotals="1" fieldPosition="0">
        <references count="3">
          <reference field="4294967294" count="1" selected="0">
            <x v="0"/>
          </reference>
          <reference field="0" count="1" selected="0">
            <x v="40"/>
          </reference>
          <reference field="1" count="1">
            <x v="159"/>
          </reference>
        </references>
      </pivotArea>
    </format>
    <format dxfId="346">
      <pivotArea collapsedLevelsAreSubtotals="1" fieldPosition="0">
        <references count="2">
          <reference field="4294967294" count="1" selected="0">
            <x v="0"/>
          </reference>
          <reference field="0" count="1">
            <x v="58"/>
          </reference>
        </references>
      </pivotArea>
    </format>
    <format dxfId="345">
      <pivotArea collapsedLevelsAreSubtotals="1" fieldPosition="0">
        <references count="3">
          <reference field="4294967294" count="1" selected="0">
            <x v="0"/>
          </reference>
          <reference field="0" count="1" selected="0">
            <x v="58"/>
          </reference>
          <reference field="1" count="1">
            <x v="123"/>
          </reference>
        </references>
      </pivotArea>
    </format>
    <format dxfId="344">
      <pivotArea collapsedLevelsAreSubtotals="1" fieldPosition="0">
        <references count="2">
          <reference field="4294967294" count="1" selected="0">
            <x v="0"/>
          </reference>
          <reference field="0" count="1">
            <x v="37"/>
          </reference>
        </references>
      </pivotArea>
    </format>
    <format dxfId="343">
      <pivotArea collapsedLevelsAreSubtotals="1" fieldPosition="0">
        <references count="3">
          <reference field="4294967294" count="1" selected="0">
            <x v="0"/>
          </reference>
          <reference field="0" count="1" selected="0">
            <x v="37"/>
          </reference>
          <reference field="1" count="1">
            <x v="139"/>
          </reference>
        </references>
      </pivotArea>
    </format>
    <format dxfId="342">
      <pivotArea collapsedLevelsAreSubtotals="1" fieldPosition="0">
        <references count="2">
          <reference field="4294967294" count="1" selected="0">
            <x v="0"/>
          </reference>
          <reference field="0" count="1">
            <x v="152"/>
          </reference>
        </references>
      </pivotArea>
    </format>
    <format dxfId="341">
      <pivotArea collapsedLevelsAreSubtotals="1" fieldPosition="0">
        <references count="3">
          <reference field="4294967294" count="1" selected="0">
            <x v="0"/>
          </reference>
          <reference field="0" count="1" selected="0">
            <x v="152"/>
          </reference>
          <reference field="1" count="1">
            <x v="39"/>
          </reference>
        </references>
      </pivotArea>
    </format>
    <format dxfId="340">
      <pivotArea collapsedLevelsAreSubtotals="1" fieldPosition="0">
        <references count="2">
          <reference field="4294967294" count="1" selected="0">
            <x v="0"/>
          </reference>
          <reference field="0" count="1">
            <x v="47"/>
          </reference>
        </references>
      </pivotArea>
    </format>
    <format dxfId="339">
      <pivotArea collapsedLevelsAreSubtotals="1" fieldPosition="0">
        <references count="3">
          <reference field="4294967294" count="1" selected="0">
            <x v="0"/>
          </reference>
          <reference field="0" count="1" selected="0">
            <x v="47"/>
          </reference>
          <reference field="1" count="1">
            <x v="113"/>
          </reference>
        </references>
      </pivotArea>
    </format>
    <format dxfId="338">
      <pivotArea collapsedLevelsAreSubtotals="1" fieldPosition="0">
        <references count="2">
          <reference field="4294967294" count="1" selected="0">
            <x v="0"/>
          </reference>
          <reference field="0" count="1">
            <x v="19"/>
          </reference>
        </references>
      </pivotArea>
    </format>
    <format dxfId="337">
      <pivotArea collapsedLevelsAreSubtotals="1" fieldPosition="0">
        <references count="3">
          <reference field="4294967294" count="1" selected="0">
            <x v="0"/>
          </reference>
          <reference field="0" count="1" selected="0">
            <x v="19"/>
          </reference>
          <reference field="1" count="1">
            <x v="156"/>
          </reference>
        </references>
      </pivotArea>
    </format>
    <format dxfId="336">
      <pivotArea collapsedLevelsAreSubtotals="1" fieldPosition="0">
        <references count="2">
          <reference field="4294967294" count="1" selected="0">
            <x v="0"/>
          </reference>
          <reference field="0" count="1">
            <x v="83"/>
          </reference>
        </references>
      </pivotArea>
    </format>
    <format dxfId="335">
      <pivotArea collapsedLevelsAreSubtotals="1" fieldPosition="0">
        <references count="3">
          <reference field="4294967294" count="1" selected="0">
            <x v="0"/>
          </reference>
          <reference field="0" count="1" selected="0">
            <x v="83"/>
          </reference>
          <reference field="1" count="1">
            <x v="100"/>
          </reference>
        </references>
      </pivotArea>
    </format>
    <format dxfId="334">
      <pivotArea collapsedLevelsAreSubtotals="1" fieldPosition="0">
        <references count="2">
          <reference field="4294967294" count="1" selected="0">
            <x v="0"/>
          </reference>
          <reference field="0" count="1">
            <x v="170"/>
          </reference>
        </references>
      </pivotArea>
    </format>
    <format dxfId="333">
      <pivotArea collapsedLevelsAreSubtotals="1" fieldPosition="0">
        <references count="3">
          <reference field="4294967294" count="1" selected="0">
            <x v="0"/>
          </reference>
          <reference field="0" count="1" selected="0">
            <x v="170"/>
          </reference>
          <reference field="1" count="1">
            <x v="11"/>
          </reference>
        </references>
      </pivotArea>
    </format>
    <format dxfId="332">
      <pivotArea collapsedLevelsAreSubtotals="1" fieldPosition="0">
        <references count="2">
          <reference field="4294967294" count="1" selected="0">
            <x v="0"/>
          </reference>
          <reference field="0" count="1">
            <x v="28"/>
          </reference>
        </references>
      </pivotArea>
    </format>
    <format dxfId="331">
      <pivotArea collapsedLevelsAreSubtotals="1" fieldPosition="0">
        <references count="3">
          <reference field="4294967294" count="1" selected="0">
            <x v="0"/>
          </reference>
          <reference field="0" count="1" selected="0">
            <x v="28"/>
          </reference>
          <reference field="1" count="1">
            <x v="160"/>
          </reference>
        </references>
      </pivotArea>
    </format>
    <format dxfId="330">
      <pivotArea collapsedLevelsAreSubtotals="1" fieldPosition="0">
        <references count="2">
          <reference field="4294967294" count="1" selected="0">
            <x v="0"/>
          </reference>
          <reference field="0" count="1">
            <x v="146"/>
          </reference>
        </references>
      </pivotArea>
    </format>
    <format dxfId="329">
      <pivotArea collapsedLevelsAreSubtotals="1" fieldPosition="0">
        <references count="3">
          <reference field="4294967294" count="1" selected="0">
            <x v="0"/>
          </reference>
          <reference field="0" count="1" selected="0">
            <x v="146"/>
          </reference>
          <reference field="1" count="1">
            <x v="40"/>
          </reference>
        </references>
      </pivotArea>
    </format>
    <format dxfId="328">
      <pivotArea collapsedLevelsAreSubtotals="1" fieldPosition="0">
        <references count="2">
          <reference field="4294967294" count="1" selected="0">
            <x v="0"/>
          </reference>
          <reference field="0" count="1">
            <x v="163"/>
          </reference>
        </references>
      </pivotArea>
    </format>
    <format dxfId="327">
      <pivotArea collapsedLevelsAreSubtotals="1" fieldPosition="0">
        <references count="3">
          <reference field="4294967294" count="1" selected="0">
            <x v="0"/>
          </reference>
          <reference field="0" count="1" selected="0">
            <x v="163"/>
          </reference>
          <reference field="1" count="1">
            <x v="24"/>
          </reference>
        </references>
      </pivotArea>
    </format>
    <format dxfId="326">
      <pivotArea collapsedLevelsAreSubtotals="1" fieldPosition="0">
        <references count="2">
          <reference field="4294967294" count="1" selected="0">
            <x v="0"/>
          </reference>
          <reference field="0" count="1">
            <x v="161"/>
          </reference>
        </references>
      </pivotArea>
    </format>
    <format dxfId="325">
      <pivotArea collapsedLevelsAreSubtotals="1" fieldPosition="0">
        <references count="3">
          <reference field="4294967294" count="1" selected="0">
            <x v="0"/>
          </reference>
          <reference field="0" count="1" selected="0">
            <x v="161"/>
          </reference>
          <reference field="1" count="1">
            <x v="26"/>
          </reference>
        </references>
      </pivotArea>
    </format>
    <format dxfId="324">
      <pivotArea collapsedLevelsAreSubtotals="1" fieldPosition="0">
        <references count="2">
          <reference field="4294967294" count="1" selected="0">
            <x v="0"/>
          </reference>
          <reference field="0" count="1">
            <x v="1"/>
          </reference>
        </references>
      </pivotArea>
    </format>
    <format dxfId="323">
      <pivotArea collapsedLevelsAreSubtotals="1" fieldPosition="0">
        <references count="3">
          <reference field="4294967294" count="1" selected="0">
            <x v="0"/>
          </reference>
          <reference field="0" count="1" selected="0">
            <x v="1"/>
          </reference>
          <reference field="1" count="1">
            <x v="52"/>
          </reference>
        </references>
      </pivotArea>
    </format>
    <format dxfId="322">
      <pivotArea collapsedLevelsAreSubtotals="1" fieldPosition="0">
        <references count="2">
          <reference field="4294967294" count="1" selected="0">
            <x v="0"/>
          </reference>
          <reference field="0" count="1">
            <x v="138"/>
          </reference>
        </references>
      </pivotArea>
    </format>
    <format dxfId="321">
      <pivotArea collapsedLevelsAreSubtotals="1" fieldPosition="0">
        <references count="3">
          <reference field="4294967294" count="1" selected="0">
            <x v="0"/>
          </reference>
          <reference field="0" count="1" selected="0">
            <x v="138"/>
          </reference>
          <reference field="1" count="1">
            <x v="170"/>
          </reference>
        </references>
      </pivotArea>
    </format>
    <format dxfId="320">
      <pivotArea collapsedLevelsAreSubtotals="1" fieldPosition="0">
        <references count="2">
          <reference field="4294967294" count="1" selected="0">
            <x v="0"/>
          </reference>
          <reference field="0" count="1">
            <x v="86"/>
          </reference>
        </references>
      </pivotArea>
    </format>
    <format dxfId="319">
      <pivotArea collapsedLevelsAreSubtotals="1" fieldPosition="0">
        <references count="3">
          <reference field="4294967294" count="1" selected="0">
            <x v="0"/>
          </reference>
          <reference field="0" count="1" selected="0">
            <x v="86"/>
          </reference>
          <reference field="1" count="1">
            <x v="104"/>
          </reference>
        </references>
      </pivotArea>
    </format>
    <format dxfId="318">
      <pivotArea collapsedLevelsAreSubtotals="1" fieldPosition="0">
        <references count="2">
          <reference field="4294967294" count="1" selected="0">
            <x v="0"/>
          </reference>
          <reference field="0" count="1">
            <x v="158"/>
          </reference>
        </references>
      </pivotArea>
    </format>
    <format dxfId="317">
      <pivotArea collapsedLevelsAreSubtotals="1" fieldPosition="0">
        <references count="3">
          <reference field="4294967294" count="1" selected="0">
            <x v="0"/>
          </reference>
          <reference field="0" count="1" selected="0">
            <x v="158"/>
          </reference>
          <reference field="1" count="1">
            <x v="30"/>
          </reference>
        </references>
      </pivotArea>
    </format>
    <format dxfId="316">
      <pivotArea collapsedLevelsAreSubtotals="1" fieldPosition="0">
        <references count="2">
          <reference field="4294967294" count="1" selected="0">
            <x v="0"/>
          </reference>
          <reference field="0" count="1">
            <x v="23"/>
          </reference>
        </references>
      </pivotArea>
    </format>
    <format dxfId="315">
      <pivotArea collapsedLevelsAreSubtotals="1" fieldPosition="0">
        <references count="3">
          <reference field="4294967294" count="1" selected="0">
            <x v="0"/>
          </reference>
          <reference field="0" count="1" selected="0">
            <x v="23"/>
          </reference>
          <reference field="1" count="1">
            <x v="154"/>
          </reference>
        </references>
      </pivotArea>
    </format>
    <format dxfId="314">
      <pivotArea collapsedLevelsAreSubtotals="1" fieldPosition="0">
        <references count="2">
          <reference field="4294967294" count="1" selected="0">
            <x v="0"/>
          </reference>
          <reference field="0" count="1">
            <x v="171"/>
          </reference>
        </references>
      </pivotArea>
    </format>
    <format dxfId="313">
      <pivotArea collapsedLevelsAreSubtotals="1" fieldPosition="0">
        <references count="3">
          <reference field="4294967294" count="1" selected="0">
            <x v="0"/>
          </reference>
          <reference field="0" count="1" selected="0">
            <x v="171"/>
          </reference>
          <reference field="1" count="1">
            <x v="16"/>
          </reference>
        </references>
      </pivotArea>
    </format>
    <format dxfId="312">
      <pivotArea collapsedLevelsAreSubtotals="1" fieldPosition="0">
        <references count="2">
          <reference field="4294967294" count="1" selected="0">
            <x v="0"/>
          </reference>
          <reference field="0" count="1">
            <x v="184"/>
          </reference>
        </references>
      </pivotArea>
    </format>
    <format dxfId="311">
      <pivotArea collapsedLevelsAreSubtotals="1" fieldPosition="0">
        <references count="3">
          <reference field="4294967294" count="1" selected="0">
            <x v="0"/>
          </reference>
          <reference field="0" count="1" selected="0">
            <x v="184"/>
          </reference>
          <reference field="1" count="1">
            <x v="1"/>
          </reference>
        </references>
      </pivotArea>
    </format>
    <format dxfId="310">
      <pivotArea collapsedLevelsAreSubtotals="1" fieldPosition="0">
        <references count="2">
          <reference field="4294967294" count="1" selected="0">
            <x v="0"/>
          </reference>
          <reference field="0" count="1">
            <x v="11"/>
          </reference>
        </references>
      </pivotArea>
    </format>
    <format dxfId="309">
      <pivotArea collapsedLevelsAreSubtotals="1" fieldPosition="0">
        <references count="3">
          <reference field="4294967294" count="1" selected="0">
            <x v="0"/>
          </reference>
          <reference field="0" count="1" selected="0">
            <x v="11"/>
          </reference>
          <reference field="1" count="1">
            <x v="167"/>
          </reference>
        </references>
      </pivotArea>
    </format>
    <format dxfId="308">
      <pivotArea collapsedLevelsAreSubtotals="1" fieldPosition="0">
        <references count="2">
          <reference field="4294967294" count="1" selected="0">
            <x v="0"/>
          </reference>
          <reference field="0" count="1">
            <x v="76"/>
          </reference>
        </references>
      </pivotArea>
    </format>
    <format dxfId="307">
      <pivotArea collapsedLevelsAreSubtotals="1" fieldPosition="0">
        <references count="3">
          <reference field="4294967294" count="1" selected="0">
            <x v="0"/>
          </reference>
          <reference field="0" count="1" selected="0">
            <x v="76"/>
          </reference>
          <reference field="1" count="1">
            <x v="161"/>
          </reference>
        </references>
      </pivotArea>
    </format>
    <format dxfId="306">
      <pivotArea collapsedLevelsAreSubtotals="1" fieldPosition="0">
        <references count="2">
          <reference field="4294967294" count="1" selected="0">
            <x v="0"/>
          </reference>
          <reference field="0" count="1">
            <x v="147"/>
          </reference>
        </references>
      </pivotArea>
    </format>
    <format dxfId="305">
      <pivotArea collapsedLevelsAreSubtotals="1" fieldPosition="0">
        <references count="3">
          <reference field="4294967294" count="1" selected="0">
            <x v="0"/>
          </reference>
          <reference field="0" count="1" selected="0">
            <x v="147"/>
          </reference>
          <reference field="1" count="1">
            <x v="23"/>
          </reference>
        </references>
      </pivotArea>
    </format>
    <format dxfId="304">
      <pivotArea collapsedLevelsAreSubtotals="1" fieldPosition="0">
        <references count="2">
          <reference field="4294967294" count="1" selected="0">
            <x v="0"/>
          </reference>
          <reference field="0" count="1">
            <x v="50"/>
          </reference>
        </references>
      </pivotArea>
    </format>
    <format dxfId="303">
      <pivotArea collapsedLevelsAreSubtotals="1" fieldPosition="0">
        <references count="3">
          <reference field="4294967294" count="1" selected="0">
            <x v="0"/>
          </reference>
          <reference field="0" count="1" selected="0">
            <x v="50"/>
          </reference>
          <reference field="1" count="1">
            <x v="135"/>
          </reference>
        </references>
      </pivotArea>
    </format>
    <format dxfId="302">
      <pivotArea collapsedLevelsAreSubtotals="1" fieldPosition="0">
        <references count="2">
          <reference field="4294967294" count="1" selected="0">
            <x v="0"/>
          </reference>
          <reference field="0" count="1">
            <x v="9"/>
          </reference>
        </references>
      </pivotArea>
    </format>
    <format dxfId="301">
      <pivotArea collapsedLevelsAreSubtotals="1" fieldPosition="0">
        <references count="3">
          <reference field="4294967294" count="1" selected="0">
            <x v="0"/>
          </reference>
          <reference field="0" count="1" selected="0">
            <x v="9"/>
          </reference>
          <reference field="1" count="1">
            <x v="47"/>
          </reference>
        </references>
      </pivotArea>
    </format>
    <format dxfId="300">
      <pivotArea collapsedLevelsAreSubtotals="1" fieldPosition="0">
        <references count="2">
          <reference field="4294967294" count="1" selected="0">
            <x v="0"/>
          </reference>
          <reference field="0" count="1">
            <x v="87"/>
          </reference>
        </references>
      </pivotArea>
    </format>
    <format dxfId="299">
      <pivotArea collapsedLevelsAreSubtotals="1" fieldPosition="0">
        <references count="3">
          <reference field="4294967294" count="1" selected="0">
            <x v="0"/>
          </reference>
          <reference field="0" count="1" selected="0">
            <x v="87"/>
          </reference>
          <reference field="1" count="1">
            <x v="97"/>
          </reference>
        </references>
      </pivotArea>
    </format>
    <format dxfId="298">
      <pivotArea collapsedLevelsAreSubtotals="1" fieldPosition="0">
        <references count="2">
          <reference field="4294967294" count="1" selected="0">
            <x v="0"/>
          </reference>
          <reference field="0" count="1">
            <x v="117"/>
          </reference>
        </references>
      </pivotArea>
    </format>
    <format dxfId="297">
      <pivotArea collapsedLevelsAreSubtotals="1" fieldPosition="0">
        <references count="3">
          <reference field="4294967294" count="1" selected="0">
            <x v="0"/>
          </reference>
          <reference field="0" count="1" selected="0">
            <x v="117"/>
          </reference>
          <reference field="1" count="1">
            <x v="65"/>
          </reference>
        </references>
      </pivotArea>
    </format>
    <format dxfId="296">
      <pivotArea collapsedLevelsAreSubtotals="1" fieldPosition="0">
        <references count="2">
          <reference field="4294967294" count="1" selected="0">
            <x v="0"/>
          </reference>
          <reference field="0" count="1">
            <x v="113"/>
          </reference>
        </references>
      </pivotArea>
    </format>
    <format dxfId="295">
      <pivotArea collapsedLevelsAreSubtotals="1" fieldPosition="0">
        <references count="3">
          <reference field="4294967294" count="1" selected="0">
            <x v="0"/>
          </reference>
          <reference field="0" count="1" selected="0">
            <x v="113"/>
          </reference>
          <reference field="1" count="1">
            <x v="180"/>
          </reference>
        </references>
      </pivotArea>
    </format>
    <format dxfId="294">
      <pivotArea collapsedLevelsAreSubtotals="1" fieldPosition="0">
        <references count="2">
          <reference field="4294967294" count="1" selected="0">
            <x v="0"/>
          </reference>
          <reference field="0" count="1">
            <x v="89"/>
          </reference>
        </references>
      </pivotArea>
    </format>
    <format dxfId="293">
      <pivotArea collapsedLevelsAreSubtotals="1" fieldPosition="0">
        <references count="3">
          <reference field="4294967294" count="1" selected="0">
            <x v="0"/>
          </reference>
          <reference field="0" count="1" selected="0">
            <x v="89"/>
          </reference>
          <reference field="1" count="1">
            <x v="95"/>
          </reference>
        </references>
      </pivotArea>
    </format>
    <format dxfId="292">
      <pivotArea collapsedLevelsAreSubtotals="1" fieldPosition="0">
        <references count="2">
          <reference field="4294967294" count="1" selected="0">
            <x v="0"/>
          </reference>
          <reference field="0" count="1">
            <x v="55"/>
          </reference>
        </references>
      </pivotArea>
    </format>
    <format dxfId="291">
      <pivotArea collapsedLevelsAreSubtotals="1" fieldPosition="0">
        <references count="3">
          <reference field="4294967294" count="1" selected="0">
            <x v="0"/>
          </reference>
          <reference field="0" count="1" selected="0">
            <x v="55"/>
          </reference>
          <reference field="1" count="1">
            <x v="128"/>
          </reference>
        </references>
      </pivotArea>
    </format>
    <format dxfId="290">
      <pivotArea collapsedLevelsAreSubtotals="1" fieldPosition="0">
        <references count="2">
          <reference field="4294967294" count="1" selected="0">
            <x v="0"/>
          </reference>
          <reference field="0" count="1">
            <x v="155"/>
          </reference>
        </references>
      </pivotArea>
    </format>
    <format dxfId="289">
      <pivotArea collapsedLevelsAreSubtotals="1" fieldPosition="0">
        <references count="3">
          <reference field="4294967294" count="1" selected="0">
            <x v="0"/>
          </reference>
          <reference field="0" count="1" selected="0">
            <x v="155"/>
          </reference>
          <reference field="1" count="1">
            <x v="33"/>
          </reference>
        </references>
      </pivotArea>
    </format>
    <format dxfId="288">
      <pivotArea collapsedLevelsAreSubtotals="1" fieldPosition="0">
        <references count="2">
          <reference field="4294967294" count="1" selected="0">
            <x v="0"/>
          </reference>
          <reference field="0" count="1">
            <x v="181"/>
          </reference>
        </references>
      </pivotArea>
    </format>
    <format dxfId="287">
      <pivotArea collapsedLevelsAreSubtotals="1" fieldPosition="0">
        <references count="3">
          <reference field="4294967294" count="1" selected="0">
            <x v="0"/>
          </reference>
          <reference field="0" count="1" selected="0">
            <x v="181"/>
          </reference>
          <reference field="1" count="1">
            <x v="6"/>
          </reference>
        </references>
      </pivotArea>
    </format>
    <format dxfId="286">
      <pivotArea collapsedLevelsAreSubtotals="1" fieldPosition="0">
        <references count="2">
          <reference field="4294967294" count="1" selected="0">
            <x v="0"/>
          </reference>
          <reference field="0" count="1">
            <x v="94"/>
          </reference>
        </references>
      </pivotArea>
    </format>
    <format dxfId="285">
      <pivotArea collapsedLevelsAreSubtotals="1" fieldPosition="0">
        <references count="3">
          <reference field="4294967294" count="1" selected="0">
            <x v="0"/>
          </reference>
          <reference field="0" count="1" selected="0">
            <x v="94"/>
          </reference>
          <reference field="1" count="1">
            <x v="91"/>
          </reference>
        </references>
      </pivotArea>
    </format>
    <format dxfId="284">
      <pivotArea collapsedLevelsAreSubtotals="1" fieldPosition="0">
        <references count="2">
          <reference field="4294967294" count="1" selected="0">
            <x v="0"/>
          </reference>
          <reference field="0" count="1">
            <x v="102"/>
          </reference>
        </references>
      </pivotArea>
    </format>
    <format dxfId="283">
      <pivotArea collapsedLevelsAreSubtotals="1" fieldPosition="0">
        <references count="3">
          <reference field="4294967294" count="1" selected="0">
            <x v="0"/>
          </reference>
          <reference field="0" count="1" selected="0">
            <x v="102"/>
          </reference>
          <reference field="1" count="1">
            <x v="79"/>
          </reference>
        </references>
      </pivotArea>
    </format>
    <format dxfId="282">
      <pivotArea collapsedLevelsAreSubtotals="1" fieldPosition="0">
        <references count="2">
          <reference field="4294967294" count="1" selected="0">
            <x v="0"/>
          </reference>
          <reference field="0" count="1">
            <x v="53"/>
          </reference>
        </references>
      </pivotArea>
    </format>
    <format dxfId="281">
      <pivotArea collapsedLevelsAreSubtotals="1" fieldPosition="0">
        <references count="3">
          <reference field="4294967294" count="1" selected="0">
            <x v="0"/>
          </reference>
          <reference field="0" count="1" selected="0">
            <x v="53"/>
          </reference>
          <reference field="1" count="1">
            <x v="175"/>
          </reference>
        </references>
      </pivotArea>
    </format>
    <format dxfId="280">
      <pivotArea collapsedLevelsAreSubtotals="1" fieldPosition="0">
        <references count="2">
          <reference field="4294967294" count="1" selected="0">
            <x v="0"/>
          </reference>
          <reference field="0" count="1">
            <x v="182"/>
          </reference>
        </references>
      </pivotArea>
    </format>
    <format dxfId="279">
      <pivotArea collapsedLevelsAreSubtotals="1" fieldPosition="0">
        <references count="3">
          <reference field="4294967294" count="1" selected="0">
            <x v="0"/>
          </reference>
          <reference field="0" count="1" selected="0">
            <x v="182"/>
          </reference>
          <reference field="1" count="1">
            <x v="4"/>
          </reference>
        </references>
      </pivotArea>
    </format>
    <format dxfId="278">
      <pivotArea collapsedLevelsAreSubtotals="1" fieldPosition="0">
        <references count="2">
          <reference field="4294967294" count="1" selected="0">
            <x v="0"/>
          </reference>
          <reference field="0" count="1">
            <x v="79"/>
          </reference>
        </references>
      </pivotArea>
    </format>
    <format dxfId="277">
      <pivotArea collapsedLevelsAreSubtotals="1" fieldPosition="0">
        <references count="3">
          <reference field="4294967294" count="1" selected="0">
            <x v="0"/>
          </reference>
          <reference field="0" count="1" selected="0">
            <x v="79"/>
          </reference>
          <reference field="1" count="1">
            <x v="107"/>
          </reference>
        </references>
      </pivotArea>
    </format>
    <format dxfId="276">
      <pivotArea collapsedLevelsAreSubtotals="1" fieldPosition="0">
        <references count="2">
          <reference field="4294967294" count="1" selected="0">
            <x v="0"/>
          </reference>
          <reference field="0" count="1">
            <x v="111"/>
          </reference>
        </references>
      </pivotArea>
    </format>
    <format dxfId="275">
      <pivotArea collapsedLevelsAreSubtotals="1" fieldPosition="0">
        <references count="3">
          <reference field="4294967294" count="1" selected="0">
            <x v="0"/>
          </reference>
          <reference field="0" count="1" selected="0">
            <x v="111"/>
          </reference>
          <reference field="1" count="1">
            <x v="70"/>
          </reference>
        </references>
      </pivotArea>
    </format>
    <format dxfId="274">
      <pivotArea collapsedLevelsAreSubtotals="1" fieldPosition="0">
        <references count="2">
          <reference field="4294967294" count="1" selected="0">
            <x v="0"/>
          </reference>
          <reference field="0" count="1">
            <x v="115"/>
          </reference>
        </references>
      </pivotArea>
    </format>
    <format dxfId="273">
      <pivotArea collapsedLevelsAreSubtotals="1" fieldPosition="0">
        <references count="3">
          <reference field="4294967294" count="1" selected="0">
            <x v="0"/>
          </reference>
          <reference field="0" count="1" selected="0">
            <x v="115"/>
          </reference>
          <reference field="1" count="1">
            <x v="66"/>
          </reference>
        </references>
      </pivotArea>
    </format>
    <format dxfId="272">
      <pivotArea collapsedLevelsAreSubtotals="1" fieldPosition="0">
        <references count="2">
          <reference field="4294967294" count="1" selected="0">
            <x v="0"/>
          </reference>
          <reference field="0" count="1">
            <x v="114"/>
          </reference>
        </references>
      </pivotArea>
    </format>
    <format dxfId="271">
      <pivotArea collapsedLevelsAreSubtotals="1" fieldPosition="0">
        <references count="3">
          <reference field="4294967294" count="1" selected="0">
            <x v="0"/>
          </reference>
          <reference field="0" count="1" selected="0">
            <x v="114"/>
          </reference>
          <reference field="1" count="1">
            <x v="67"/>
          </reference>
        </references>
      </pivotArea>
    </format>
    <format dxfId="270">
      <pivotArea collapsedLevelsAreSubtotals="1" fieldPosition="0">
        <references count="2">
          <reference field="4294967294" count="1" selected="0">
            <x v="0"/>
          </reference>
          <reference field="0" count="1">
            <x v="2"/>
          </reference>
        </references>
      </pivotArea>
    </format>
    <format dxfId="269">
      <pivotArea collapsedLevelsAreSubtotals="1" fieldPosition="0">
        <references count="3">
          <reference field="4294967294" count="1" selected="0">
            <x v="0"/>
          </reference>
          <reference field="0" count="1" selected="0">
            <x v="2"/>
          </reference>
          <reference field="1" count="1">
            <x v="183"/>
          </reference>
        </references>
      </pivotArea>
    </format>
    <format dxfId="268">
      <pivotArea collapsedLevelsAreSubtotals="1" fieldPosition="0">
        <references count="2">
          <reference field="4294967294" count="1" selected="0">
            <x v="0"/>
          </reference>
          <reference field="0" count="1">
            <x v="135"/>
          </reference>
        </references>
      </pivotArea>
    </format>
    <format dxfId="267">
      <pivotArea collapsedLevelsAreSubtotals="1" fieldPosition="0">
        <references count="3">
          <reference field="4294967294" count="1" selected="0">
            <x v="0"/>
          </reference>
          <reference field="0" count="1" selected="0">
            <x v="135"/>
          </reference>
          <reference field="1" count="1">
            <x v="171"/>
          </reference>
        </references>
      </pivotArea>
    </format>
    <format dxfId="266">
      <pivotArea collapsedLevelsAreSubtotals="1" fieldPosition="0">
        <references count="2">
          <reference field="4294967294" count="1" selected="0">
            <x v="0"/>
          </reference>
          <reference field="0" count="1">
            <x v="133"/>
          </reference>
        </references>
      </pivotArea>
    </format>
    <format dxfId="265">
      <pivotArea collapsedLevelsAreSubtotals="1" fieldPosition="0">
        <references count="3">
          <reference field="4294967294" count="1" selected="0">
            <x v="0"/>
          </reference>
          <reference field="0" count="1" selected="0">
            <x v="133"/>
          </reference>
          <reference field="1" count="1">
            <x v="51"/>
          </reference>
        </references>
      </pivotArea>
    </format>
    <format dxfId="264">
      <pivotArea collapsedLevelsAreSubtotals="1" fieldPosition="0">
        <references count="2">
          <reference field="4294967294" count="1" selected="0">
            <x v="0"/>
          </reference>
          <reference field="0" count="1">
            <x v="109"/>
          </reference>
        </references>
      </pivotArea>
    </format>
    <format dxfId="263">
      <pivotArea collapsedLevelsAreSubtotals="1" fieldPosition="0">
        <references count="3">
          <reference field="4294967294" count="1" selected="0">
            <x v="0"/>
          </reference>
          <reference field="0" count="1" selected="0">
            <x v="109"/>
          </reference>
          <reference field="1" count="1">
            <x v="71"/>
          </reference>
        </references>
      </pivotArea>
    </format>
    <format dxfId="262">
      <pivotArea collapsedLevelsAreSubtotals="1" fieldPosition="0">
        <references count="2">
          <reference field="4294967294" count="1" selected="0">
            <x v="0"/>
          </reference>
          <reference field="0" count="1">
            <x v="73"/>
          </reference>
        </references>
      </pivotArea>
    </format>
    <format dxfId="261">
      <pivotArea collapsedLevelsAreSubtotals="1" fieldPosition="0">
        <references count="3">
          <reference field="4294967294" count="1" selected="0">
            <x v="0"/>
          </reference>
          <reference field="0" count="1" selected="0">
            <x v="73"/>
          </reference>
          <reference field="1" count="1">
            <x v="112"/>
          </reference>
        </references>
      </pivotArea>
    </format>
    <format dxfId="260">
      <pivotArea collapsedLevelsAreSubtotals="1" fieldPosition="0">
        <references count="2">
          <reference field="4294967294" count="1" selected="0">
            <x v="0"/>
          </reference>
          <reference field="0" count="1">
            <x v="167"/>
          </reference>
        </references>
      </pivotArea>
    </format>
    <format dxfId="259">
      <pivotArea collapsedLevelsAreSubtotals="1" fieldPosition="0">
        <references count="3">
          <reference field="4294967294" count="1" selected="0">
            <x v="0"/>
          </reference>
          <reference field="0" count="1" selected="0">
            <x v="167"/>
          </reference>
          <reference field="1" count="1">
            <x v="19"/>
          </reference>
        </references>
      </pivotArea>
    </format>
    <format dxfId="258">
      <pivotArea collapsedLevelsAreSubtotals="1" fieldPosition="0">
        <references count="2">
          <reference field="4294967294" count="1" selected="0">
            <x v="0"/>
          </reference>
          <reference field="0" count="1">
            <x v="17"/>
          </reference>
        </references>
      </pivotArea>
    </format>
    <format dxfId="257">
      <pivotArea collapsedLevelsAreSubtotals="1" fieldPosition="0">
        <references count="3">
          <reference field="4294967294" count="1" selected="0">
            <x v="0"/>
          </reference>
          <reference field="0" count="1" selected="0">
            <x v="17"/>
          </reference>
          <reference field="1" count="1">
            <x v="162"/>
          </reference>
        </references>
      </pivotArea>
    </format>
    <format dxfId="256">
      <pivotArea collapsedLevelsAreSubtotals="1" fieldPosition="0">
        <references count="2">
          <reference field="4294967294" count="1" selected="0">
            <x v="0"/>
          </reference>
          <reference field="0" count="1">
            <x v="166"/>
          </reference>
        </references>
      </pivotArea>
    </format>
    <format dxfId="255">
      <pivotArea collapsedLevelsAreSubtotals="1" fieldPosition="0">
        <references count="3">
          <reference field="4294967294" count="1" selected="0">
            <x v="0"/>
          </reference>
          <reference field="0" count="1" selected="0">
            <x v="166"/>
          </reference>
          <reference field="1" count="1">
            <x v="21"/>
          </reference>
        </references>
      </pivotArea>
    </format>
    <format dxfId="254">
      <pivotArea collapsedLevelsAreSubtotals="1" fieldPosition="0">
        <references count="2">
          <reference field="4294967294" count="1" selected="0">
            <x v="0"/>
          </reference>
          <reference field="0" count="1">
            <x v="64"/>
          </reference>
        </references>
      </pivotArea>
    </format>
    <format dxfId="253">
      <pivotArea collapsedLevelsAreSubtotals="1" fieldPosition="0">
        <references count="3">
          <reference field="4294967294" count="1" selected="0">
            <x v="0"/>
          </reference>
          <reference field="0" count="1" selected="0">
            <x v="64"/>
          </reference>
          <reference field="1" count="1">
            <x v="185"/>
          </reference>
        </references>
      </pivotArea>
    </format>
    <format dxfId="252">
      <pivotArea collapsedLevelsAreSubtotals="1" fieldPosition="0">
        <references count="2">
          <reference field="4294967294" count="1" selected="0">
            <x v="0"/>
          </reference>
          <reference field="0" count="1">
            <x v="149"/>
          </reference>
        </references>
      </pivotArea>
    </format>
    <format dxfId="251">
      <pivotArea collapsedLevelsAreSubtotals="1" fieldPosition="0">
        <references count="3">
          <reference field="4294967294" count="1" selected="0">
            <x v="0"/>
          </reference>
          <reference field="0" count="1" selected="0">
            <x v="149"/>
          </reference>
          <reference field="1" count="1">
            <x v="20"/>
          </reference>
        </references>
      </pivotArea>
    </format>
    <format dxfId="250">
      <pivotArea collapsedLevelsAreSubtotals="1" fieldPosition="0">
        <references count="2">
          <reference field="4294967294" count="1" selected="0">
            <x v="0"/>
          </reference>
          <reference field="0" count="1">
            <x v="92"/>
          </reference>
        </references>
      </pivotArea>
    </format>
    <format dxfId="249">
      <pivotArea collapsedLevelsAreSubtotals="1" fieldPosition="0">
        <references count="3">
          <reference field="4294967294" count="1" selected="0">
            <x v="0"/>
          </reference>
          <reference field="0" count="1" selected="0">
            <x v="92"/>
          </reference>
          <reference field="1" count="1">
            <x v="90"/>
          </reference>
        </references>
      </pivotArea>
    </format>
    <format dxfId="248">
      <pivotArea collapsedLevelsAreSubtotals="1" fieldPosition="0">
        <references count="2">
          <reference field="4294967294" count="1" selected="0">
            <x v="0"/>
          </reference>
          <reference field="0" count="1">
            <x v="61"/>
          </reference>
        </references>
      </pivotArea>
    </format>
    <format dxfId="247">
      <pivotArea collapsedLevelsAreSubtotals="1" fieldPosition="0">
        <references count="3">
          <reference field="4294967294" count="1" selected="0">
            <x v="0"/>
          </reference>
          <reference field="0" count="1" selected="0">
            <x v="61"/>
          </reference>
          <reference field="1" count="1">
            <x v="168"/>
          </reference>
        </references>
      </pivotArea>
    </format>
    <format dxfId="246">
      <pivotArea collapsedLevelsAreSubtotals="1" fieldPosition="0">
        <references count="2">
          <reference field="4294967294" count="1" selected="0">
            <x v="0"/>
          </reference>
          <reference field="0" count="1">
            <x v="134"/>
          </reference>
        </references>
      </pivotArea>
    </format>
    <format dxfId="245">
      <pivotArea collapsedLevelsAreSubtotals="1" fieldPosition="0">
        <references count="3">
          <reference field="4294967294" count="1" selected="0">
            <x v="0"/>
          </reference>
          <reference field="0" count="1" selected="0">
            <x v="134"/>
          </reference>
          <reference field="1" count="1">
            <x v="49"/>
          </reference>
        </references>
      </pivotArea>
    </format>
    <format dxfId="244">
      <pivotArea collapsedLevelsAreSubtotals="1" fieldPosition="0">
        <references count="2">
          <reference field="4294967294" count="1" selected="0">
            <x v="0"/>
          </reference>
          <reference field="0" count="1">
            <x v="157"/>
          </reference>
        </references>
      </pivotArea>
    </format>
    <format dxfId="243">
      <pivotArea collapsedLevelsAreSubtotals="1" fieldPosition="0">
        <references count="3">
          <reference field="4294967294" count="1" selected="0">
            <x v="0"/>
          </reference>
          <reference field="0" count="1" selected="0">
            <x v="157"/>
          </reference>
          <reference field="1" count="1">
            <x v="29"/>
          </reference>
        </references>
      </pivotArea>
    </format>
    <format dxfId="242">
      <pivotArea collapsedLevelsAreSubtotals="1" fieldPosition="0">
        <references count="2">
          <reference field="4294967294" count="1" selected="0">
            <x v="0"/>
          </reference>
          <reference field="0" count="1">
            <x v="25"/>
          </reference>
        </references>
      </pivotArea>
    </format>
    <format dxfId="241">
      <pivotArea collapsedLevelsAreSubtotals="1" fieldPosition="0">
        <references count="3">
          <reference field="4294967294" count="1" selected="0">
            <x v="0"/>
          </reference>
          <reference field="0" count="1" selected="0">
            <x v="25"/>
          </reference>
          <reference field="1" count="1">
            <x v="152"/>
          </reference>
        </references>
      </pivotArea>
    </format>
    <format dxfId="240">
      <pivotArea collapsedLevelsAreSubtotals="1" fieldPosition="0">
        <references count="2">
          <reference field="4294967294" count="1" selected="0">
            <x v="0"/>
          </reference>
          <reference field="0" count="1">
            <x v="151"/>
          </reference>
        </references>
      </pivotArea>
    </format>
    <format dxfId="239">
      <pivotArea collapsedLevelsAreSubtotals="1" fieldPosition="0">
        <references count="3">
          <reference field="4294967294" count="1" selected="0">
            <x v="0"/>
          </reference>
          <reference field="0" count="1" selected="0">
            <x v="151"/>
          </reference>
          <reference field="1" count="1">
            <x v="34"/>
          </reference>
        </references>
      </pivotArea>
    </format>
    <format dxfId="238">
      <pivotArea collapsedLevelsAreSubtotals="1" fieldPosition="0">
        <references count="2">
          <reference field="4294967294" count="1" selected="0">
            <x v="0"/>
          </reference>
          <reference field="0" count="1">
            <x v="164"/>
          </reference>
        </references>
      </pivotArea>
    </format>
    <format dxfId="237">
      <pivotArea collapsedLevelsAreSubtotals="1" fieldPosition="0">
        <references count="3">
          <reference field="4294967294" count="1" selected="0">
            <x v="0"/>
          </reference>
          <reference field="0" count="1" selected="0">
            <x v="164"/>
          </reference>
          <reference field="1" count="1">
            <x v="110"/>
          </reference>
        </references>
      </pivotArea>
    </format>
    <format dxfId="236">
      <pivotArea collapsedLevelsAreSubtotals="1" fieldPosition="0">
        <references count="2">
          <reference field="4294967294" count="1" selected="0">
            <x v="0"/>
          </reference>
          <reference field="0" count="1">
            <x v="162"/>
          </reference>
        </references>
      </pivotArea>
    </format>
    <format dxfId="235">
      <pivotArea collapsedLevelsAreSubtotals="1" fieldPosition="0">
        <references count="3">
          <reference field="4294967294" count="1" selected="0">
            <x v="0"/>
          </reference>
          <reference field="0" count="1" selected="0">
            <x v="162"/>
          </reference>
          <reference field="1" count="1">
            <x v="41"/>
          </reference>
        </references>
      </pivotArea>
    </format>
    <format dxfId="234">
      <pivotArea collapsedLevelsAreSubtotals="1" fieldPosition="0">
        <references count="2">
          <reference field="4294967294" count="1" selected="0">
            <x v="0"/>
          </reference>
          <reference field="0" count="1">
            <x v="183"/>
          </reference>
        </references>
      </pivotArea>
    </format>
    <format dxfId="233">
      <pivotArea collapsedLevelsAreSubtotals="1" fieldPosition="0">
        <references count="3">
          <reference field="4294967294" count="1" selected="0">
            <x v="0"/>
          </reference>
          <reference field="0" count="1" selected="0">
            <x v="183"/>
          </reference>
          <reference field="1" count="1">
            <x v="2"/>
          </reference>
        </references>
      </pivotArea>
    </format>
    <format dxfId="232">
      <pivotArea collapsedLevelsAreSubtotals="1" fieldPosition="0">
        <references count="2">
          <reference field="4294967294" count="1" selected="0">
            <x v="0"/>
          </reference>
          <reference field="0" count="1">
            <x v="100"/>
          </reference>
        </references>
      </pivotArea>
    </format>
    <format dxfId="231">
      <pivotArea collapsedLevelsAreSubtotals="1" fieldPosition="0">
        <references count="3">
          <reference field="4294967294" count="1" selected="0">
            <x v="0"/>
          </reference>
          <reference field="0" count="1" selected="0">
            <x v="100"/>
          </reference>
          <reference field="1" count="1">
            <x v="81"/>
          </reference>
        </references>
      </pivotArea>
    </format>
    <format dxfId="230">
      <pivotArea collapsedLevelsAreSubtotals="1" fieldPosition="0">
        <references count="2">
          <reference field="4294967294" count="1" selected="0">
            <x v="0"/>
          </reference>
          <reference field="0" count="1">
            <x v="82"/>
          </reference>
        </references>
      </pivotArea>
    </format>
    <format dxfId="229">
      <pivotArea collapsedLevelsAreSubtotals="1" fieldPosition="0">
        <references count="3">
          <reference field="4294967294" count="1" selected="0">
            <x v="0"/>
          </reference>
          <reference field="0" count="1" selected="0">
            <x v="82"/>
          </reference>
          <reference field="1" count="1">
            <x v="103"/>
          </reference>
        </references>
      </pivotArea>
    </format>
    <format dxfId="228">
      <pivotArea collapsedLevelsAreSubtotals="1" fieldPosition="0">
        <references count="2">
          <reference field="4294967294" count="1" selected="0">
            <x v="0"/>
          </reference>
          <reference field="0" count="1">
            <x v="101"/>
          </reference>
        </references>
      </pivotArea>
    </format>
    <format dxfId="227">
      <pivotArea collapsedLevelsAreSubtotals="1" fieldPosition="0">
        <references count="3">
          <reference field="4294967294" count="1" selected="0">
            <x v="0"/>
          </reference>
          <reference field="0" count="1" selected="0">
            <x v="101"/>
          </reference>
          <reference field="1" count="1">
            <x v="80"/>
          </reference>
        </references>
      </pivotArea>
    </format>
    <format dxfId="226">
      <pivotArea collapsedLevelsAreSubtotals="1" fieldPosition="0">
        <references count="2">
          <reference field="4294967294" count="1" selected="0">
            <x v="0"/>
          </reference>
          <reference field="0" count="1">
            <x v="57"/>
          </reference>
        </references>
      </pivotArea>
    </format>
    <format dxfId="225">
      <pivotArea collapsedLevelsAreSubtotals="1" fieldPosition="0">
        <references count="3">
          <reference field="4294967294" count="1" selected="0">
            <x v="0"/>
          </reference>
          <reference field="0" count="1" selected="0">
            <x v="57"/>
          </reference>
          <reference field="1" count="1">
            <x v="124"/>
          </reference>
        </references>
      </pivotArea>
    </format>
    <format dxfId="224">
      <pivotArea collapsedLevelsAreSubtotals="1" fieldPosition="0">
        <references count="2">
          <reference field="4294967294" count="1" selected="0">
            <x v="0"/>
          </reference>
          <reference field="0" count="1">
            <x v="129"/>
          </reference>
        </references>
      </pivotArea>
    </format>
    <format dxfId="223">
      <pivotArea collapsedLevelsAreSubtotals="1" fieldPosition="0">
        <references count="3">
          <reference field="4294967294" count="1" selected="0">
            <x v="0"/>
          </reference>
          <reference field="0" count="1" selected="0">
            <x v="129"/>
          </reference>
          <reference field="1" count="1">
            <x v="55"/>
          </reference>
        </references>
      </pivotArea>
    </format>
    <format dxfId="222">
      <pivotArea collapsedLevelsAreSubtotals="1" fieldPosition="0">
        <references count="2">
          <reference field="4294967294" count="1" selected="0">
            <x v="0"/>
          </reference>
          <reference field="0" count="1">
            <x v="185"/>
          </reference>
        </references>
      </pivotArea>
    </format>
    <format dxfId="221">
      <pivotArea collapsedLevelsAreSubtotals="1" fieldPosition="0">
        <references count="3">
          <reference field="4294967294" count="1" selected="0">
            <x v="0"/>
          </reference>
          <reference field="0" count="1" selected="0">
            <x v="185"/>
          </reference>
          <reference field="1" count="1">
            <x v="0"/>
          </reference>
        </references>
      </pivotArea>
    </format>
    <format dxfId="220">
      <pivotArea collapsedLevelsAreSubtotals="1" fieldPosition="0">
        <references count="2">
          <reference field="4294967294" count="1" selected="0">
            <x v="0"/>
          </reference>
          <reference field="0" count="1">
            <x v="84"/>
          </reference>
        </references>
      </pivotArea>
    </format>
    <format dxfId="219">
      <pivotArea collapsedLevelsAreSubtotals="1" fieldPosition="0">
        <references count="3">
          <reference field="4294967294" count="1" selected="0">
            <x v="0"/>
          </reference>
          <reference field="0" count="1" selected="0">
            <x v="84"/>
          </reference>
          <reference field="1" count="1">
            <x v="96"/>
          </reference>
        </references>
      </pivotArea>
    </format>
    <format dxfId="218">
      <pivotArea collapsedLevelsAreSubtotals="1" fieldPosition="0">
        <references count="2">
          <reference field="4294967294" count="1" selected="0">
            <x v="0"/>
          </reference>
          <reference field="0" count="1">
            <x v="110"/>
          </reference>
        </references>
      </pivotArea>
    </format>
    <format dxfId="217">
      <pivotArea collapsedLevelsAreSubtotals="1" fieldPosition="0">
        <references count="3">
          <reference field="4294967294" count="1" selected="0">
            <x v="0"/>
          </reference>
          <reference field="0" count="1" selected="0">
            <x v="110"/>
          </reference>
          <reference field="1" count="1">
            <x v="73"/>
          </reference>
        </references>
      </pivotArea>
    </format>
    <format dxfId="216">
      <pivotArea collapsedLevelsAreSubtotals="1" fieldPosition="0">
        <references count="2">
          <reference field="4294967294" count="1" selected="0">
            <x v="0"/>
          </reference>
          <reference field="0" count="1">
            <x v="104"/>
          </reference>
        </references>
      </pivotArea>
    </format>
    <format dxfId="215">
      <pivotArea collapsedLevelsAreSubtotals="1" fieldPosition="0">
        <references count="3">
          <reference field="4294967294" count="1" selected="0">
            <x v="0"/>
          </reference>
          <reference field="0" count="1" selected="0">
            <x v="104"/>
          </reference>
          <reference field="1" count="1">
            <x v="77"/>
          </reference>
        </references>
      </pivotArea>
    </format>
    <format dxfId="214">
      <pivotArea collapsedLevelsAreSubtotals="1" fieldPosition="0">
        <references count="2">
          <reference field="4294967294" count="1" selected="0">
            <x v="0"/>
          </reference>
          <reference field="0" count="1">
            <x v="38"/>
          </reference>
        </references>
      </pivotArea>
    </format>
    <format dxfId="213">
      <pivotArea collapsedLevelsAreSubtotals="1" fieldPosition="0">
        <references count="3">
          <reference field="4294967294" count="1" selected="0">
            <x v="0"/>
          </reference>
          <reference field="0" count="1" selected="0">
            <x v="38"/>
          </reference>
          <reference field="1" count="1">
            <x v="144"/>
          </reference>
        </references>
      </pivotArea>
    </format>
    <format dxfId="212">
      <pivotArea collapsedLevelsAreSubtotals="1" fieldPosition="0">
        <references count="2">
          <reference field="4294967294" count="1" selected="0">
            <x v="0"/>
          </reference>
          <reference field="0" count="1">
            <x v="145"/>
          </reference>
        </references>
      </pivotArea>
    </format>
    <format dxfId="211">
      <pivotArea collapsedLevelsAreSubtotals="1" fieldPosition="0">
        <references count="3">
          <reference field="4294967294" count="1" selected="0">
            <x v="0"/>
          </reference>
          <reference field="0" count="1" selected="0">
            <x v="145"/>
          </reference>
          <reference field="1" count="1">
            <x v="3"/>
          </reference>
        </references>
      </pivotArea>
    </format>
    <format dxfId="210">
      <pivotArea collapsedLevelsAreSubtotals="1" fieldPosition="0">
        <references count="2">
          <reference field="4294967294" count="1" selected="0">
            <x v="0"/>
          </reference>
          <reference field="0" count="1">
            <x v="179"/>
          </reference>
        </references>
      </pivotArea>
    </format>
    <format dxfId="209">
      <pivotArea collapsedLevelsAreSubtotals="1" fieldPosition="0">
        <references count="3">
          <reference field="4294967294" count="1" selected="0">
            <x v="0"/>
          </reference>
          <reference field="0" count="1" selected="0">
            <x v="179"/>
          </reference>
          <reference field="1" count="1">
            <x v="9"/>
          </reference>
        </references>
      </pivotArea>
    </format>
    <format dxfId="208">
      <pivotArea collapsedLevelsAreSubtotals="1" fieldPosition="0">
        <references count="2">
          <reference field="4294967294" count="1" selected="0">
            <x v="0"/>
          </reference>
          <reference field="0" count="1">
            <x v="12"/>
          </reference>
        </references>
      </pivotArea>
    </format>
    <format dxfId="207">
      <pivotArea collapsedLevelsAreSubtotals="1" fieldPosition="0">
        <references count="3">
          <reference field="4294967294" count="1" selected="0">
            <x v="0"/>
          </reference>
          <reference field="0" count="1" selected="0">
            <x v="12"/>
          </reference>
          <reference field="1" count="1">
            <x v="166"/>
          </reference>
        </references>
      </pivotArea>
    </format>
    <format dxfId="206">
      <pivotArea collapsedLevelsAreSubtotals="1" fieldPosition="0">
        <references count="2">
          <reference field="4294967294" count="1" selected="0">
            <x v="0"/>
          </reference>
          <reference field="0" count="1">
            <x v="27"/>
          </reference>
        </references>
      </pivotArea>
    </format>
    <format dxfId="205">
      <pivotArea collapsedLevelsAreSubtotals="1" fieldPosition="0">
        <references count="3">
          <reference field="4294967294" count="1" selected="0">
            <x v="0"/>
          </reference>
          <reference field="0" count="1" selected="0">
            <x v="27"/>
          </reference>
          <reference field="1" count="1">
            <x v="106"/>
          </reference>
        </references>
      </pivotArea>
    </format>
    <format dxfId="204">
      <pivotArea collapsedLevelsAreSubtotals="1" fieldPosition="0">
        <references count="2">
          <reference field="4294967294" count="1" selected="0">
            <x v="0"/>
          </reference>
          <reference field="0" count="1">
            <x v="36"/>
          </reference>
        </references>
      </pivotArea>
    </format>
    <format dxfId="203">
      <pivotArea collapsedLevelsAreSubtotals="1" fieldPosition="0">
        <references count="3">
          <reference field="4294967294" count="1" selected="0">
            <x v="0"/>
          </reference>
          <reference field="0" count="1" selected="0">
            <x v="36"/>
          </reference>
          <reference field="1" count="1">
            <x v="136"/>
          </reference>
        </references>
      </pivotArea>
    </format>
    <format dxfId="202">
      <pivotArea collapsedLevelsAreSubtotals="1" fieldPosition="0">
        <references count="2">
          <reference field="4294967294" count="1" selected="0">
            <x v="0"/>
          </reference>
          <reference field="0" count="1">
            <x v="148"/>
          </reference>
        </references>
      </pivotArea>
    </format>
    <format dxfId="201">
      <pivotArea collapsedLevelsAreSubtotals="1" fieldPosition="0">
        <references count="3">
          <reference field="4294967294" count="1" selected="0">
            <x v="0"/>
          </reference>
          <reference field="0" count="1" selected="0">
            <x v="148"/>
          </reference>
          <reference field="1" count="1">
            <x v="35"/>
          </reference>
        </references>
      </pivotArea>
    </format>
    <format dxfId="200">
      <pivotArea collapsedLevelsAreSubtotals="1" fieldPosition="0">
        <references count="2">
          <reference field="4294967294" count="1" selected="0">
            <x v="0"/>
          </reference>
          <reference field="0" count="1">
            <x v="139"/>
          </reference>
        </references>
      </pivotArea>
    </format>
    <format dxfId="199">
      <pivotArea collapsedLevelsAreSubtotals="1" fieldPosition="0">
        <references count="3">
          <reference field="4294967294" count="1" selected="0">
            <x v="0"/>
          </reference>
          <reference field="0" count="1" selected="0">
            <x v="139"/>
          </reference>
          <reference field="1" count="1">
            <x v="27"/>
          </reference>
        </references>
      </pivotArea>
    </format>
    <format dxfId="198">
      <pivotArea collapsedLevelsAreSubtotals="1" fieldPosition="0">
        <references count="2">
          <reference field="4294967294" count="1" selected="0">
            <x v="0"/>
          </reference>
          <reference field="0" count="1">
            <x v="141"/>
          </reference>
        </references>
      </pivotArea>
    </format>
    <format dxfId="197">
      <pivotArea collapsedLevelsAreSubtotals="1" fieldPosition="0">
        <references count="3">
          <reference field="4294967294" count="1" selected="0">
            <x v="0"/>
          </reference>
          <reference field="0" count="1" selected="0">
            <x v="141"/>
          </reference>
          <reference field="1" count="1">
            <x v="45"/>
          </reference>
        </references>
      </pivotArea>
    </format>
    <format dxfId="196">
      <pivotArea collapsedLevelsAreSubtotals="1" fieldPosition="0">
        <references count="2">
          <reference field="4294967294" count="1" selected="0">
            <x v="0"/>
          </reference>
          <reference field="0" count="1">
            <x v="60"/>
          </reference>
        </references>
      </pivotArea>
    </format>
    <format dxfId="195">
      <pivotArea collapsedLevelsAreSubtotals="1" fieldPosition="0">
        <references count="3">
          <reference field="4294967294" count="1" selected="0">
            <x v="0"/>
          </reference>
          <reference field="0" count="1" selected="0">
            <x v="60"/>
          </reference>
          <reference field="1" count="1">
            <x v="121"/>
          </reference>
        </references>
      </pivotArea>
    </format>
    <format dxfId="194">
      <pivotArea collapsedLevelsAreSubtotals="1" fieldPosition="0">
        <references count="2">
          <reference field="4294967294" count="1" selected="0">
            <x v="0"/>
          </reference>
          <reference field="0" count="1">
            <x v="132"/>
          </reference>
        </references>
      </pivotArea>
    </format>
    <format dxfId="193">
      <pivotArea collapsedLevelsAreSubtotals="1" fieldPosition="0">
        <references count="3">
          <reference field="4294967294" count="1" selected="0">
            <x v="0"/>
          </reference>
          <reference field="0" count="1" selected="0">
            <x v="132"/>
          </reference>
          <reference field="1" count="1">
            <x v="94"/>
          </reference>
        </references>
      </pivotArea>
    </format>
    <format dxfId="192">
      <pivotArea collapsedLevelsAreSubtotals="1" fieldPosition="0">
        <references count="2">
          <reference field="4294967294" count="1" selected="0">
            <x v="0"/>
          </reference>
          <reference field="0" count="1">
            <x v="13"/>
          </reference>
        </references>
      </pivotArea>
    </format>
    <format dxfId="191">
      <pivotArea collapsedLevelsAreSubtotals="1" fieldPosition="0">
        <references count="3">
          <reference field="4294967294" count="1" selected="0">
            <x v="0"/>
          </reference>
          <reference field="0" count="1" selected="0">
            <x v="13"/>
          </reference>
          <reference field="1" count="1">
            <x v="125"/>
          </reference>
        </references>
      </pivotArea>
    </format>
    <format dxfId="190">
      <pivotArea collapsedLevelsAreSubtotals="1" fieldPosition="0">
        <references count="2">
          <reference field="4294967294" count="1" selected="0">
            <x v="0"/>
          </reference>
          <reference field="0" count="1">
            <x v="14"/>
          </reference>
        </references>
      </pivotArea>
    </format>
    <format dxfId="189">
      <pivotArea collapsedLevelsAreSubtotals="1" fieldPosition="0">
        <references count="3">
          <reference field="4294967294" count="1" selected="0">
            <x v="0"/>
          </reference>
          <reference field="0" count="1" selected="0">
            <x v="14"/>
          </reference>
          <reference field="1" count="1">
            <x v="164"/>
          </reference>
        </references>
      </pivotArea>
    </format>
    <format dxfId="188">
      <pivotArea collapsedLevelsAreSubtotals="1" fieldPosition="0">
        <references count="2">
          <reference field="4294967294" count="1" selected="0">
            <x v="0"/>
          </reference>
          <reference field="0" count="1">
            <x v="30"/>
          </reference>
        </references>
      </pivotArea>
    </format>
    <format dxfId="187">
      <pivotArea collapsedLevelsAreSubtotals="1" fieldPosition="0">
        <references count="3">
          <reference field="4294967294" count="1" selected="0">
            <x v="0"/>
          </reference>
          <reference field="0" count="1" selected="0">
            <x v="30"/>
          </reference>
          <reference field="1" count="1">
            <x v="150"/>
          </reference>
        </references>
      </pivotArea>
    </format>
    <format dxfId="186">
      <pivotArea collapsedLevelsAreSubtotals="1" fieldPosition="0">
        <references count="2">
          <reference field="4294967294" count="1" selected="0">
            <x v="0"/>
          </reference>
          <reference field="0" count="1">
            <x v="131"/>
          </reference>
        </references>
      </pivotArea>
    </format>
    <format dxfId="185">
      <pivotArea collapsedLevelsAreSubtotals="1" fieldPosition="0">
        <references count="3">
          <reference field="4294967294" count="1" selected="0">
            <x v="0"/>
          </reference>
          <reference field="0" count="1" selected="0">
            <x v="131"/>
          </reference>
          <reference field="1" count="1">
            <x v="53"/>
          </reference>
        </references>
      </pivotArea>
    </format>
    <format dxfId="184">
      <pivotArea collapsedLevelsAreSubtotals="1" fieldPosition="0">
        <references count="2">
          <reference field="4294967294" count="1" selected="0">
            <x v="0"/>
          </reference>
          <reference field="0" count="1">
            <x v="88"/>
          </reference>
        </references>
      </pivotArea>
    </format>
    <format dxfId="183">
      <pivotArea collapsedLevelsAreSubtotals="1" fieldPosition="0">
        <references count="3">
          <reference field="4294967294" count="1" selected="0">
            <x v="0"/>
          </reference>
          <reference field="0" count="1" selected="0">
            <x v="88"/>
          </reference>
          <reference field="1" count="1">
            <x v="102"/>
          </reference>
        </references>
      </pivotArea>
    </format>
    <format dxfId="182">
      <pivotArea collapsedLevelsAreSubtotals="1" fieldPosition="0">
        <references count="2">
          <reference field="4294967294" count="1" selected="0">
            <x v="0"/>
          </reference>
          <reference field="0" count="1">
            <x v="34"/>
          </reference>
        </references>
      </pivotArea>
    </format>
    <format dxfId="181">
      <pivotArea collapsedLevelsAreSubtotals="1" fieldPosition="0">
        <references count="3">
          <reference field="4294967294" count="1" selected="0">
            <x v="0"/>
          </reference>
          <reference field="0" count="1" selected="0">
            <x v="34"/>
          </reference>
          <reference field="1" count="1">
            <x v="146"/>
          </reference>
        </references>
      </pivotArea>
    </format>
    <format dxfId="180">
      <pivotArea collapsedLevelsAreSubtotals="1" fieldPosition="0">
        <references count="2">
          <reference field="4294967294" count="1" selected="0">
            <x v="0"/>
          </reference>
          <reference field="0" count="1">
            <x v="123"/>
          </reference>
        </references>
      </pivotArea>
    </format>
    <format dxfId="179">
      <pivotArea collapsedLevelsAreSubtotals="1" fieldPosition="0">
        <references count="3">
          <reference field="4294967294" count="1" selected="0">
            <x v="0"/>
          </reference>
          <reference field="0" count="1" selected="0">
            <x v="123"/>
          </reference>
          <reference field="1" count="1">
            <x v="61"/>
          </reference>
        </references>
      </pivotArea>
    </format>
    <format dxfId="178">
      <pivotArea collapsedLevelsAreSubtotals="1" fieldPosition="0">
        <references count="2">
          <reference field="4294967294" count="1" selected="0">
            <x v="0"/>
          </reference>
          <reference field="0" count="1">
            <x v="125"/>
          </reference>
        </references>
      </pivotArea>
    </format>
    <format dxfId="177">
      <pivotArea collapsedLevelsAreSubtotals="1" fieldPosition="0">
        <references count="3">
          <reference field="4294967294" count="1" selected="0">
            <x v="0"/>
          </reference>
          <reference field="0" count="1" selected="0">
            <x v="125"/>
          </reference>
          <reference field="1" count="1">
            <x v="59"/>
          </reference>
        </references>
      </pivotArea>
    </format>
    <format dxfId="176">
      <pivotArea collapsedLevelsAreSubtotals="1" fieldPosition="0">
        <references count="2">
          <reference field="4294967294" count="1" selected="0">
            <x v="0"/>
          </reference>
          <reference field="0" count="1">
            <x v="68"/>
          </reference>
        </references>
      </pivotArea>
    </format>
    <format dxfId="175">
      <pivotArea collapsedLevelsAreSubtotals="1" fieldPosition="0">
        <references count="3">
          <reference field="4294967294" count="1" selected="0">
            <x v="0"/>
          </reference>
          <reference field="0" count="1" selected="0">
            <x v="68"/>
          </reference>
          <reference field="1" count="1">
            <x v="120"/>
          </reference>
        </references>
      </pivotArea>
    </format>
    <format dxfId="174">
      <pivotArea collapsedLevelsAreSubtotals="1" fieldPosition="0">
        <references count="2">
          <reference field="4294967294" count="1" selected="0">
            <x v="0"/>
          </reference>
          <reference field="0" count="1">
            <x v="63"/>
          </reference>
        </references>
      </pivotArea>
    </format>
    <format dxfId="173">
      <pivotArea collapsedLevelsAreSubtotals="1" fieldPosition="0">
        <references count="3">
          <reference field="4294967294" count="1" selected="0">
            <x v="0"/>
          </reference>
          <reference field="0" count="1" selected="0">
            <x v="63"/>
          </reference>
          <reference field="1" count="1">
            <x v="119"/>
          </reference>
        </references>
      </pivotArea>
    </format>
    <format dxfId="172">
      <pivotArea collapsedLevelsAreSubtotals="1" fieldPosition="0">
        <references count="2">
          <reference field="4294967294" count="1" selected="0">
            <x v="0"/>
          </reference>
          <reference field="0" count="1">
            <x v="67"/>
          </reference>
        </references>
      </pivotArea>
    </format>
    <format dxfId="171">
      <pivotArea collapsedLevelsAreSubtotals="1" fieldPosition="0">
        <references count="3">
          <reference field="4294967294" count="1" selected="0">
            <x v="0"/>
          </reference>
          <reference field="0" count="1" selected="0">
            <x v="67"/>
          </reference>
          <reference field="1" count="1">
            <x v="117"/>
          </reference>
        </references>
      </pivotArea>
    </format>
    <format dxfId="170">
      <pivotArea collapsedLevelsAreSubtotals="1" fieldPosition="0">
        <references count="2">
          <reference field="4294967294" count="1" selected="0">
            <x v="0"/>
          </reference>
          <reference field="0" count="1">
            <x v="5"/>
          </reference>
        </references>
      </pivotArea>
    </format>
    <format dxfId="169">
      <pivotArea collapsedLevelsAreSubtotals="1" fieldPosition="0">
        <references count="3">
          <reference field="4294967294" count="1" selected="0">
            <x v="0"/>
          </reference>
          <reference field="0" count="1" selected="0">
            <x v="5"/>
          </reference>
          <reference field="1" count="1">
            <x v="176"/>
          </reference>
        </references>
      </pivotArea>
    </format>
    <format dxfId="168">
      <pivotArea collapsedLevelsAreSubtotals="1" fieldPosition="0">
        <references count="2">
          <reference field="4294967294" count="1" selected="0">
            <x v="0"/>
          </reference>
          <reference field="0" count="1">
            <x v="159"/>
          </reference>
        </references>
      </pivotArea>
    </format>
    <format dxfId="167">
      <pivotArea collapsedLevelsAreSubtotals="1" fieldPosition="0">
        <references count="3">
          <reference field="4294967294" count="1" selected="0">
            <x v="0"/>
          </reference>
          <reference field="0" count="1" selected="0">
            <x v="159"/>
          </reference>
          <reference field="1" count="1">
            <x v="28"/>
          </reference>
        </references>
      </pivotArea>
    </format>
    <format dxfId="166">
      <pivotArea collapsedLevelsAreSubtotals="1" fieldPosition="0">
        <references count="2">
          <reference field="4294967294" count="1" selected="0">
            <x v="0"/>
          </reference>
          <reference field="0" count="1">
            <x v="105"/>
          </reference>
        </references>
      </pivotArea>
    </format>
    <format dxfId="165">
      <pivotArea collapsedLevelsAreSubtotals="1" fieldPosition="0">
        <references count="3">
          <reference field="4294967294" count="1" selected="0">
            <x v="0"/>
          </reference>
          <reference field="0" count="1" selected="0">
            <x v="105"/>
          </reference>
          <reference field="1" count="1">
            <x v="76"/>
          </reference>
        </references>
      </pivotArea>
    </format>
    <format dxfId="164">
      <pivotArea collapsedLevelsAreSubtotals="1" fieldPosition="0">
        <references count="2">
          <reference field="4294967294" count="1" selected="0">
            <x v="0"/>
          </reference>
          <reference field="0" count="1">
            <x v="97"/>
          </reference>
        </references>
      </pivotArea>
    </format>
    <format dxfId="163">
      <pivotArea collapsedLevelsAreSubtotals="1" fieldPosition="0">
        <references count="3">
          <reference field="4294967294" count="1" selected="0">
            <x v="0"/>
          </reference>
          <reference field="0" count="1" selected="0">
            <x v="97"/>
          </reference>
          <reference field="1" count="1">
            <x v="84"/>
          </reference>
        </references>
      </pivotArea>
    </format>
    <format dxfId="162">
      <pivotArea collapsedLevelsAreSubtotals="1" fieldPosition="0">
        <references count="2">
          <reference field="4294967294" count="1" selected="0">
            <x v="0"/>
          </reference>
          <reference field="0" count="1">
            <x v="160"/>
          </reference>
        </references>
      </pivotArea>
    </format>
    <format dxfId="161">
      <pivotArea collapsedLevelsAreSubtotals="1" fieldPosition="0">
        <references count="3">
          <reference field="4294967294" count="1" selected="0">
            <x v="0"/>
          </reference>
          <reference field="0" count="1" selected="0">
            <x v="160"/>
          </reference>
          <reference field="1" count="1">
            <x v="25"/>
          </reference>
        </references>
      </pivotArea>
    </format>
    <format dxfId="160">
      <pivotArea collapsedLevelsAreSubtotals="1" fieldPosition="0">
        <references count="2">
          <reference field="4294967294" count="1" selected="0">
            <x v="0"/>
          </reference>
          <reference field="0" count="1">
            <x v="180"/>
          </reference>
        </references>
      </pivotArea>
    </format>
    <format dxfId="159">
      <pivotArea collapsedLevelsAreSubtotals="1" fieldPosition="0">
        <references count="3">
          <reference field="4294967294" count="1" selected="0">
            <x v="0"/>
          </reference>
          <reference field="0" count="1" selected="0">
            <x v="180"/>
          </reference>
          <reference field="1" count="1">
            <x v="7"/>
          </reference>
        </references>
      </pivotArea>
    </format>
    <format dxfId="158">
      <pivotArea collapsedLevelsAreSubtotals="1" fieldPosition="0">
        <references count="2">
          <reference field="4294967294" count="1" selected="0">
            <x v="0"/>
          </reference>
          <reference field="0" count="1">
            <x v="140"/>
          </reference>
        </references>
      </pivotArea>
    </format>
    <format dxfId="157">
      <pivotArea collapsedLevelsAreSubtotals="1" fieldPosition="0">
        <references count="3">
          <reference field="4294967294" count="1" selected="0">
            <x v="0"/>
          </reference>
          <reference field="0" count="1" selected="0">
            <x v="140"/>
          </reference>
          <reference field="1" count="1">
            <x v="48"/>
          </reference>
        </references>
      </pivotArea>
    </format>
    <format dxfId="156">
      <pivotArea collapsedLevelsAreSubtotals="1" fieldPosition="0">
        <references count="2">
          <reference field="4294967294" count="1" selected="0">
            <x v="0"/>
          </reference>
          <reference field="0" count="1">
            <x v="29"/>
          </reference>
        </references>
      </pivotArea>
    </format>
    <format dxfId="155">
      <pivotArea collapsedLevelsAreSubtotals="1" fieldPosition="0">
        <references count="3">
          <reference field="4294967294" count="1" selected="0">
            <x v="0"/>
          </reference>
          <reference field="0" count="1" selected="0">
            <x v="29"/>
          </reference>
          <reference field="1" count="1">
            <x v="151"/>
          </reference>
        </references>
      </pivotArea>
    </format>
    <format dxfId="154">
      <pivotArea collapsedLevelsAreSubtotals="1" fieldPosition="0">
        <references count="2">
          <reference field="4294967294" count="1" selected="0">
            <x v="0"/>
          </reference>
          <reference field="0" count="1">
            <x v="143"/>
          </reference>
        </references>
      </pivotArea>
    </format>
    <format dxfId="153">
      <pivotArea collapsedLevelsAreSubtotals="1" fieldPosition="0">
        <references count="3">
          <reference field="4294967294" count="1" selected="0">
            <x v="0"/>
          </reference>
          <reference field="0" count="1" selected="0">
            <x v="143"/>
          </reference>
          <reference field="1" count="1">
            <x v="44"/>
          </reference>
        </references>
      </pivotArea>
    </format>
    <format dxfId="152">
      <pivotArea collapsedLevelsAreSubtotals="1" fieldPosition="0">
        <references count="2">
          <reference field="4294967294" count="1" selected="0">
            <x v="0"/>
          </reference>
          <reference field="0" count="1">
            <x v="77"/>
          </reference>
        </references>
      </pivotArea>
    </format>
    <format dxfId="151">
      <pivotArea collapsedLevelsAreSubtotals="1" fieldPosition="0">
        <references count="3">
          <reference field="4294967294" count="1" selected="0">
            <x v="0"/>
          </reference>
          <reference field="0" count="1" selected="0">
            <x v="77"/>
          </reference>
          <reference field="1" count="1">
            <x v="8"/>
          </reference>
        </references>
      </pivotArea>
    </format>
    <format dxfId="150">
      <pivotArea collapsedLevelsAreSubtotals="1" fieldPosition="0">
        <references count="2">
          <reference field="4294967294" count="1" selected="0">
            <x v="0"/>
          </reference>
          <reference field="0" count="1">
            <x v="168"/>
          </reference>
        </references>
      </pivotArea>
    </format>
    <format dxfId="149">
      <pivotArea collapsedLevelsAreSubtotals="1" fieldPosition="0">
        <references count="3">
          <reference field="4294967294" count="1" selected="0">
            <x v="0"/>
          </reference>
          <reference field="0" count="1" selected="0">
            <x v="168"/>
          </reference>
          <reference field="1" count="1">
            <x v="18"/>
          </reference>
        </references>
      </pivotArea>
    </format>
    <format dxfId="148">
      <pivotArea collapsedLevelsAreSubtotals="1" fieldPosition="0">
        <references count="2">
          <reference field="4294967294" count="1" selected="0">
            <x v="0"/>
          </reference>
          <reference field="0" count="1">
            <x v="56"/>
          </reference>
        </references>
      </pivotArea>
    </format>
    <format dxfId="147">
      <pivotArea collapsedLevelsAreSubtotals="1" fieldPosition="0">
        <references count="3">
          <reference field="4294967294" count="1" selected="0">
            <x v="0"/>
          </reference>
          <reference field="0" count="1" selected="0">
            <x v="56"/>
          </reference>
          <reference field="1" count="1">
            <x v="126"/>
          </reference>
        </references>
      </pivotArea>
    </format>
    <format dxfId="146">
      <pivotArea collapsedLevelsAreSubtotals="1" fieldPosition="0">
        <references count="2">
          <reference field="4294967294" count="1" selected="0">
            <x v="0"/>
          </reference>
          <reference field="0" count="1">
            <x v="98"/>
          </reference>
        </references>
      </pivotArea>
    </format>
    <format dxfId="145">
      <pivotArea collapsedLevelsAreSubtotals="1" fieldPosition="0">
        <references count="3">
          <reference field="4294967294" count="1" selected="0">
            <x v="0"/>
          </reference>
          <reference field="0" count="1" selected="0">
            <x v="98"/>
          </reference>
          <reference field="1" count="1">
            <x v="85"/>
          </reference>
        </references>
      </pivotArea>
    </format>
    <format dxfId="144">
      <pivotArea collapsedLevelsAreSubtotals="1" fieldPosition="0">
        <references count="2">
          <reference field="4294967294" count="1" selected="0">
            <x v="0"/>
          </reference>
          <reference field="0" count="1">
            <x v="95"/>
          </reference>
        </references>
      </pivotArea>
    </format>
    <format dxfId="143">
      <pivotArea collapsedLevelsAreSubtotals="1" fieldPosition="0">
        <references count="3">
          <reference field="4294967294" count="1" selected="0">
            <x v="0"/>
          </reference>
          <reference field="0" count="1" selected="0">
            <x v="95"/>
          </reference>
          <reference field="1" count="1">
            <x v="88"/>
          </reference>
        </references>
      </pivotArea>
    </format>
    <format dxfId="142">
      <pivotArea collapsedLevelsAreSubtotals="1" fieldPosition="0">
        <references count="2">
          <reference field="4294967294" count="1" selected="0">
            <x v="0"/>
          </reference>
          <reference field="0" count="1">
            <x v="144"/>
          </reference>
        </references>
      </pivotArea>
    </format>
    <format dxfId="141">
      <pivotArea collapsedLevelsAreSubtotals="1" fieldPosition="0">
        <references count="3">
          <reference field="4294967294" count="1" selected="0">
            <x v="0"/>
          </reference>
          <reference field="0" count="1" selected="0">
            <x v="144"/>
          </reference>
          <reference field="1" count="1">
            <x v="42"/>
          </reference>
        </references>
      </pivotArea>
    </format>
    <format dxfId="140">
      <pivotArea collapsedLevelsAreSubtotals="1" fieldPosition="0">
        <references count="2">
          <reference field="4294967294" count="1" selected="0">
            <x v="0"/>
          </reference>
          <reference field="0" count="1">
            <x v="51"/>
          </reference>
        </references>
      </pivotArea>
    </format>
    <format dxfId="139">
      <pivotArea collapsedLevelsAreSubtotals="1" fieldPosition="0">
        <references count="3">
          <reference field="4294967294" count="1" selected="0">
            <x v="0"/>
          </reference>
          <reference field="0" count="1" selected="0">
            <x v="51"/>
          </reference>
          <reference field="1" count="1">
            <x v="132"/>
          </reference>
        </references>
      </pivotArea>
    </format>
    <format dxfId="138">
      <pivotArea collapsedLevelsAreSubtotals="1" fieldPosition="0">
        <references count="2">
          <reference field="4294967294" count="1" selected="0">
            <x v="0"/>
          </reference>
          <reference field="0" count="1">
            <x v="15"/>
          </reference>
        </references>
      </pivotArea>
    </format>
    <format dxfId="137">
      <pivotArea collapsedLevelsAreSubtotals="1" fieldPosition="0">
        <references count="3">
          <reference field="4294967294" count="1" selected="0">
            <x v="0"/>
          </reference>
          <reference field="0" count="1" selected="0">
            <x v="15"/>
          </reference>
          <reference field="1" count="1">
            <x v="165"/>
          </reference>
        </references>
      </pivotArea>
    </format>
    <format dxfId="136">
      <pivotArea collapsedLevelsAreSubtotals="1" fieldPosition="0">
        <references count="2">
          <reference field="4294967294" count="1" selected="0">
            <x v="0"/>
          </reference>
          <reference field="0" count="1">
            <x v="22"/>
          </reference>
        </references>
      </pivotArea>
    </format>
    <format dxfId="135">
      <pivotArea collapsedLevelsAreSubtotals="1" fieldPosition="0">
        <references count="3">
          <reference field="4294967294" count="1" selected="0">
            <x v="0"/>
          </reference>
          <reference field="0" count="1" selected="0">
            <x v="22"/>
          </reference>
          <reference field="1" count="1">
            <x v="149"/>
          </reference>
        </references>
      </pivotArea>
    </format>
    <format dxfId="134">
      <pivotArea collapsedLevelsAreSubtotals="1" fieldPosition="0">
        <references count="2">
          <reference field="4294967294" count="1" selected="0">
            <x v="0"/>
          </reference>
          <reference field="0" count="1">
            <x v="175"/>
          </reference>
        </references>
      </pivotArea>
    </format>
    <format dxfId="133">
      <pivotArea collapsedLevelsAreSubtotals="1" fieldPosition="0">
        <references count="3">
          <reference field="4294967294" count="1" selected="0">
            <x v="0"/>
          </reference>
          <reference field="0" count="1" selected="0">
            <x v="175"/>
          </reference>
          <reference field="1" count="1">
            <x v="13"/>
          </reference>
        </references>
      </pivotArea>
    </format>
    <format dxfId="132">
      <pivotArea collapsedLevelsAreSubtotals="1" fieldPosition="0">
        <references count="2">
          <reference field="4294967294" count="1" selected="0">
            <x v="0"/>
          </reference>
          <reference field="0" count="1">
            <x v="48"/>
          </reference>
        </references>
      </pivotArea>
    </format>
    <format dxfId="131">
      <pivotArea collapsedLevelsAreSubtotals="1" fieldPosition="0">
        <references count="3">
          <reference field="4294967294" count="1" selected="0">
            <x v="0"/>
          </reference>
          <reference field="0" count="1" selected="0">
            <x v="48"/>
          </reference>
          <reference field="1" count="1">
            <x v="134"/>
          </reference>
        </references>
      </pivotArea>
    </format>
    <format dxfId="130">
      <pivotArea collapsedLevelsAreSubtotals="1" fieldPosition="0">
        <references count="2">
          <reference field="4294967294" count="1" selected="0">
            <x v="0"/>
          </reference>
          <reference field="0" count="1">
            <x v="127"/>
          </reference>
        </references>
      </pivotArea>
    </format>
    <format dxfId="129">
      <pivotArea collapsedLevelsAreSubtotals="1" fieldPosition="0">
        <references count="3">
          <reference field="4294967294" count="1" selected="0">
            <x v="0"/>
          </reference>
          <reference field="0" count="1" selected="0">
            <x v="127"/>
          </reference>
          <reference field="1" count="1">
            <x v="62"/>
          </reference>
        </references>
      </pivotArea>
    </format>
    <format dxfId="128">
      <pivotArea collapsedLevelsAreSubtotals="1" fieldPosition="0">
        <references count="2">
          <reference field="4294967294" count="1" selected="0">
            <x v="0"/>
          </reference>
          <reference field="0" count="1">
            <x v="128"/>
          </reference>
        </references>
      </pivotArea>
    </format>
    <format dxfId="127">
      <pivotArea collapsedLevelsAreSubtotals="1" fieldPosition="0">
        <references count="3">
          <reference field="4294967294" count="1" selected="0">
            <x v="0"/>
          </reference>
          <reference field="0" count="1" selected="0">
            <x v="128"/>
          </reference>
          <reference field="1" count="1">
            <x v="57"/>
          </reference>
        </references>
      </pivotArea>
    </format>
    <format dxfId="126">
      <pivotArea collapsedLevelsAreSubtotals="1" fieldPosition="0">
        <references count="2">
          <reference field="4294967294" count="1" selected="0">
            <x v="0"/>
          </reference>
          <reference field="0" count="1">
            <x v="153"/>
          </reference>
        </references>
      </pivotArea>
    </format>
    <format dxfId="125">
      <pivotArea collapsedLevelsAreSubtotals="1" fieldPosition="0">
        <references count="3">
          <reference field="4294967294" count="1" selected="0">
            <x v="0"/>
          </reference>
          <reference field="0" count="1" selected="0">
            <x v="153"/>
          </reference>
          <reference field="1" count="1">
            <x v="38"/>
          </reference>
        </references>
      </pivotArea>
    </format>
    <format dxfId="124">
      <pivotArea collapsedLevelsAreSubtotals="1" fieldPosition="0">
        <references count="2">
          <reference field="4294967294" count="1" selected="0">
            <x v="0"/>
          </reference>
          <reference field="0" count="1">
            <x v="112"/>
          </reference>
        </references>
      </pivotArea>
    </format>
    <format dxfId="123">
      <pivotArea collapsedLevelsAreSubtotals="1" fieldPosition="0">
        <references count="3">
          <reference field="4294967294" count="1" selected="0">
            <x v="0"/>
          </reference>
          <reference field="0" count="1" selected="0">
            <x v="112"/>
          </reference>
          <reference field="1" count="1">
            <x v="68"/>
          </reference>
        </references>
      </pivotArea>
    </format>
    <format dxfId="122">
      <pivotArea collapsedLevelsAreSubtotals="1" fieldPosition="0">
        <references count="2">
          <reference field="4294967294" count="1" selected="0">
            <x v="0"/>
          </reference>
          <reference field="0" count="1">
            <x v="119"/>
          </reference>
        </references>
      </pivotArea>
    </format>
    <format dxfId="121">
      <pivotArea collapsedLevelsAreSubtotals="1" fieldPosition="0">
        <references count="3">
          <reference field="4294967294" count="1" selected="0">
            <x v="0"/>
          </reference>
          <reference field="0" count="1" selected="0">
            <x v="119"/>
          </reference>
          <reference field="1" count="1">
            <x v="64"/>
          </reference>
        </references>
      </pivotArea>
    </format>
    <format dxfId="120">
      <pivotArea collapsedLevelsAreSubtotals="1" fieldPosition="0">
        <references count="2">
          <reference field="4294967294" count="1" selected="0">
            <x v="0"/>
          </reference>
          <reference field="0" count="1">
            <x v="142"/>
          </reference>
        </references>
      </pivotArea>
    </format>
    <format dxfId="119">
      <pivotArea collapsedLevelsAreSubtotals="1" fieldPosition="0">
        <references count="3">
          <reference field="4294967294" count="1" selected="0">
            <x v="0"/>
          </reference>
          <reference field="0" count="1" selected="0">
            <x v="142"/>
          </reference>
          <reference field="1" count="1">
            <x v="43"/>
          </reference>
        </references>
      </pivotArea>
    </format>
    <format dxfId="118">
      <pivotArea collapsedLevelsAreSubtotals="1" fieldPosition="0">
        <references count="2">
          <reference field="4294967294" count="1" selected="0">
            <x v="0"/>
          </reference>
          <reference field="0" count="1">
            <x v="80"/>
          </reference>
        </references>
      </pivotArea>
    </format>
    <format dxfId="117">
      <pivotArea collapsedLevelsAreSubtotals="1" fieldPosition="0">
        <references count="3">
          <reference field="4294967294" count="1" selected="0">
            <x v="0"/>
          </reference>
          <reference field="0" count="1" selected="0">
            <x v="80"/>
          </reference>
          <reference field="1" count="1">
            <x v="177"/>
          </reference>
        </references>
      </pivotArea>
    </format>
    <format dxfId="116">
      <pivotArea collapsedLevelsAreSubtotals="1" fieldPosition="0">
        <references count="2">
          <reference field="4294967294" count="1" selected="0">
            <x v="0"/>
          </reference>
          <reference field="0" count="1">
            <x v="71"/>
          </reference>
        </references>
      </pivotArea>
    </format>
    <format dxfId="115">
      <pivotArea collapsedLevelsAreSubtotals="1" fieldPosition="0">
        <references count="3">
          <reference field="4294967294" count="1" selected="0">
            <x v="0"/>
          </reference>
          <reference field="0" count="1" selected="0">
            <x v="71"/>
          </reference>
          <reference field="1" count="1">
            <x v="115"/>
          </reference>
        </references>
      </pivotArea>
    </format>
    <format dxfId="114">
      <pivotArea collapsedLevelsAreSubtotals="1" fieldPosition="0">
        <references count="2">
          <reference field="4294967294" count="1" selected="0">
            <x v="0"/>
          </reference>
          <reference field="0" count="1">
            <x v="44"/>
          </reference>
        </references>
      </pivotArea>
    </format>
    <format dxfId="113">
      <pivotArea collapsedLevelsAreSubtotals="1" fieldPosition="0">
        <references count="3">
          <reference field="4294967294" count="1" selected="0">
            <x v="0"/>
          </reference>
          <reference field="0" count="1" selected="0">
            <x v="44"/>
          </reference>
          <reference field="1" count="1">
            <x v="138"/>
          </reference>
        </references>
      </pivotArea>
    </format>
    <format dxfId="112">
      <pivotArea collapsedLevelsAreSubtotals="1" fieldPosition="0">
        <references count="2">
          <reference field="4294967294" count="1" selected="0">
            <x v="0"/>
          </reference>
          <reference field="0" count="1">
            <x v="41"/>
          </reference>
        </references>
      </pivotArea>
    </format>
    <format dxfId="111">
      <pivotArea collapsedLevelsAreSubtotals="1" fieldPosition="0">
        <references count="3">
          <reference field="4294967294" count="1" selected="0">
            <x v="0"/>
          </reference>
          <reference field="0" count="1" selected="0">
            <x v="41"/>
          </reference>
          <reference field="1" count="1">
            <x v="141"/>
          </reference>
        </references>
      </pivotArea>
    </format>
    <format dxfId="110">
      <pivotArea collapsedLevelsAreSubtotals="1" fieldPosition="0">
        <references count="2">
          <reference field="4294967294" count="1" selected="0">
            <x v="0"/>
          </reference>
          <reference field="0" count="1">
            <x v="43"/>
          </reference>
        </references>
      </pivotArea>
    </format>
    <format dxfId="109">
      <pivotArea collapsedLevelsAreSubtotals="1" fieldPosition="0">
        <references count="3">
          <reference field="4294967294" count="1" selected="0">
            <x v="0"/>
          </reference>
          <reference field="0" count="1" selected="0">
            <x v="43"/>
          </reference>
          <reference field="1" count="1">
            <x v="140"/>
          </reference>
        </references>
      </pivotArea>
    </format>
    <format dxfId="108">
      <pivotArea collapsedLevelsAreSubtotals="1" fieldPosition="0">
        <references count="2">
          <reference field="4294967294" count="1" selected="0">
            <x v="0"/>
          </reference>
          <reference field="0" count="1">
            <x v="186"/>
          </reference>
        </references>
      </pivotArea>
    </format>
    <format dxfId="107">
      <pivotArea collapsedLevelsAreSubtotals="1" fieldPosition="0">
        <references count="3">
          <reference field="4294967294" count="1" selected="0">
            <x v="0"/>
          </reference>
          <reference field="0" count="1" selected="0">
            <x v="186"/>
          </reference>
          <reference field="1" count="1">
            <x v="181"/>
          </reference>
        </references>
      </pivotArea>
    </format>
    <format dxfId="106">
      <pivotArea collapsedLevelsAreSubtotals="1" fieldPosition="0">
        <references count="2">
          <reference field="4294967294" count="1" selected="0">
            <x v="0"/>
          </reference>
          <reference field="0" count="1">
            <x v="3"/>
          </reference>
        </references>
      </pivotArea>
    </format>
    <format dxfId="105">
      <pivotArea collapsedLevelsAreSubtotals="1" fieldPosition="0">
        <references count="3">
          <reference field="4294967294" count="1" selected="0">
            <x v="0"/>
          </reference>
          <reference field="0" count="1" selected="0">
            <x v="3"/>
          </reference>
          <reference field="1" count="1">
            <x v="184"/>
          </reference>
        </references>
      </pivotArea>
    </format>
    <format dxfId="104">
      <pivotArea collapsedLevelsAreSubtotals="1" fieldPosition="0">
        <references count="2">
          <reference field="4294967294" count="1" selected="0">
            <x v="0"/>
          </reference>
          <reference field="0" count="1">
            <x v="174"/>
          </reference>
        </references>
      </pivotArea>
    </format>
    <format dxfId="103">
      <pivotArea collapsedLevelsAreSubtotals="1" fieldPosition="0">
        <references count="3">
          <reference field="4294967294" count="1" selected="0">
            <x v="0"/>
          </reference>
          <reference field="0" count="1" selected="0">
            <x v="174"/>
          </reference>
          <reference field="1" count="1">
            <x v="14"/>
          </reference>
        </references>
      </pivotArea>
    </format>
    <format dxfId="102">
      <pivotArea collapsedLevelsAreSubtotals="1" fieldPosition="0">
        <references count="2">
          <reference field="4294967294" count="1" selected="0">
            <x v="0"/>
          </reference>
          <reference field="0" count="1">
            <x v="33"/>
          </reference>
        </references>
      </pivotArea>
    </format>
    <format dxfId="101">
      <pivotArea collapsedLevelsAreSubtotals="1" fieldPosition="0">
        <references count="3">
          <reference field="4294967294" count="1" selected="0">
            <x v="0"/>
          </reference>
          <reference field="0" count="1" selected="0">
            <x v="33"/>
          </reference>
          <reference field="1" count="1">
            <x v="147"/>
          </reference>
        </references>
      </pivotArea>
    </format>
    <format dxfId="100">
      <pivotArea collapsedLevelsAreSubtotals="1" fieldPosition="0">
        <references count="2">
          <reference field="4294967294" count="1" selected="0">
            <x v="0"/>
          </reference>
          <reference field="0" count="1">
            <x v="106"/>
          </reference>
        </references>
      </pivotArea>
    </format>
    <format dxfId="99">
      <pivotArea collapsedLevelsAreSubtotals="1" fieldPosition="0">
        <references count="3">
          <reference field="4294967294" count="1" selected="0">
            <x v="0"/>
          </reference>
          <reference field="0" count="1" selected="0">
            <x v="106"/>
          </reference>
          <reference field="1" count="1">
            <x v="74"/>
          </reference>
        </references>
      </pivotArea>
    </format>
    <format dxfId="98">
      <pivotArea collapsedLevelsAreSubtotals="1" fieldPosition="0">
        <references count="2">
          <reference field="4294967294" count="1" selected="0">
            <x v="0"/>
          </reference>
          <reference field="0" count="1">
            <x v="8"/>
          </reference>
        </references>
      </pivotArea>
    </format>
    <format dxfId="97">
      <pivotArea collapsedLevelsAreSubtotals="1" fieldPosition="0">
        <references count="3">
          <reference field="4294967294" count="1" selected="0">
            <x v="0"/>
          </reference>
          <reference field="0" count="1" selected="0">
            <x v="8"/>
          </reference>
          <reference field="1" count="1">
            <x v="172"/>
          </reference>
        </references>
      </pivotArea>
    </format>
    <format dxfId="96">
      <pivotArea collapsedLevelsAreSubtotals="1" fieldPosition="0">
        <references count="2">
          <reference field="4294967294" count="1" selected="0">
            <x v="0"/>
          </reference>
          <reference field="0" count="1">
            <x v="75"/>
          </reference>
        </references>
      </pivotArea>
    </format>
    <format dxfId="95">
      <pivotArea collapsedLevelsAreSubtotals="1" fieldPosition="0">
        <references count="3">
          <reference field="4294967294" count="1" selected="0">
            <x v="0"/>
          </reference>
          <reference field="0" count="1" selected="0">
            <x v="75"/>
          </reference>
          <reference field="1" count="1">
            <x v="75"/>
          </reference>
        </references>
      </pivotArea>
    </format>
    <format dxfId="94">
      <pivotArea collapsedLevelsAreSubtotals="1" fieldPosition="0">
        <references count="2">
          <reference field="4294967294" count="1" selected="0">
            <x v="0"/>
          </reference>
          <reference field="0" count="1">
            <x v="178"/>
          </reference>
        </references>
      </pivotArea>
    </format>
    <format dxfId="93">
      <pivotArea collapsedLevelsAreSubtotals="1" fieldPosition="0">
        <references count="3">
          <reference field="4294967294" count="1" selected="0">
            <x v="0"/>
          </reference>
          <reference field="0" count="1" selected="0">
            <x v="178"/>
          </reference>
          <reference field="1" count="1">
            <x v="10"/>
          </reference>
        </references>
      </pivotArea>
    </format>
    <format dxfId="92">
      <pivotArea collapsedLevelsAreSubtotals="1" fieldPosition="0">
        <references count="2">
          <reference field="4294967294" count="1" selected="0">
            <x v="0"/>
          </reference>
          <reference field="0" count="1">
            <x v="137"/>
          </reference>
        </references>
      </pivotArea>
    </format>
    <format dxfId="91">
      <pivotArea collapsedLevelsAreSubtotals="1" fieldPosition="0">
        <references count="3">
          <reference field="4294967294" count="1" selected="0">
            <x v="0"/>
          </reference>
          <reference field="0" count="1" selected="0">
            <x v="137"/>
          </reference>
          <reference field="1" count="1">
            <x v="32"/>
          </reference>
        </references>
      </pivotArea>
    </format>
    <format dxfId="90">
      <pivotArea collapsedLevelsAreSubtotals="1" fieldPosition="0">
        <references count="2">
          <reference field="4294967294" count="1" selected="0">
            <x v="0"/>
          </reference>
          <reference field="0" count="1">
            <x v="52"/>
          </reference>
        </references>
      </pivotArea>
    </format>
    <format dxfId="89">
      <pivotArea collapsedLevelsAreSubtotals="1" fieldPosition="0">
        <references count="3">
          <reference field="4294967294" count="1" selected="0">
            <x v="0"/>
          </reference>
          <reference field="0" count="1" selected="0">
            <x v="52"/>
          </reference>
          <reference field="1" count="1">
            <x v="131"/>
          </reference>
        </references>
      </pivotArea>
    </format>
    <format dxfId="88">
      <pivotArea collapsedLevelsAreSubtotals="1" fieldPosition="0">
        <references count="2">
          <reference field="4294967294" count="1" selected="0">
            <x v="0"/>
          </reference>
          <reference field="0" count="1">
            <x v="81"/>
          </reference>
        </references>
      </pivotArea>
    </format>
    <format dxfId="87">
      <pivotArea collapsedLevelsAreSubtotals="1" fieldPosition="0">
        <references count="3">
          <reference field="4294967294" count="1" selected="0">
            <x v="0"/>
          </reference>
          <reference field="0" count="1" selected="0">
            <x v="81"/>
          </reference>
          <reference field="1" count="1">
            <x v="105"/>
          </reference>
        </references>
      </pivotArea>
    </format>
    <format dxfId="86">
      <pivotArea collapsedLevelsAreSubtotals="1" fieldPosition="0">
        <references count="2">
          <reference field="4294967294" count="1" selected="0">
            <x v="0"/>
          </reference>
          <reference field="0" count="1">
            <x v="78"/>
          </reference>
        </references>
      </pivotArea>
    </format>
    <format dxfId="85">
      <pivotArea collapsedLevelsAreSubtotals="1" fieldPosition="0">
        <references count="3">
          <reference field="4294967294" count="1" selected="0">
            <x v="0"/>
          </reference>
          <reference field="0" count="1" selected="0">
            <x v="78"/>
          </reference>
          <reference field="1" count="1">
            <x v="108"/>
          </reference>
        </references>
      </pivotArea>
    </format>
    <format dxfId="84">
      <pivotArea collapsedLevelsAreSubtotals="1" fieldPosition="0">
        <references count="2">
          <reference field="4294967294" count="1" selected="0">
            <x v="0"/>
          </reference>
          <reference field="0" count="1">
            <x v="46"/>
          </reference>
        </references>
      </pivotArea>
    </format>
    <format dxfId="83">
      <pivotArea collapsedLevelsAreSubtotals="1" fieldPosition="0">
        <references count="3">
          <reference field="4294967294" count="1" selected="0">
            <x v="0"/>
          </reference>
          <reference field="0" count="1" selected="0">
            <x v="46"/>
          </reference>
          <reference field="1" count="1">
            <x v="129"/>
          </reference>
        </references>
      </pivotArea>
    </format>
    <format dxfId="82">
      <pivotArea collapsedLevelsAreSubtotals="1" fieldPosition="0">
        <references count="2">
          <reference field="4294967294" count="1" selected="0">
            <x v="0"/>
          </reference>
          <reference field="0" count="1">
            <x v="108"/>
          </reference>
        </references>
      </pivotArea>
    </format>
    <format dxfId="81">
      <pivotArea collapsedLevelsAreSubtotals="1" fieldPosition="0">
        <references count="3">
          <reference field="4294967294" count="1" selected="0">
            <x v="0"/>
          </reference>
          <reference field="0" count="1" selected="0">
            <x v="108"/>
          </reference>
          <reference field="1" count="1">
            <x v="72"/>
          </reference>
        </references>
      </pivotArea>
    </format>
    <format dxfId="80">
      <pivotArea collapsedLevelsAreSubtotals="1" fieldPosition="0">
        <references count="2">
          <reference field="4294967294" count="1" selected="0">
            <x v="0"/>
          </reference>
          <reference field="0" count="1">
            <x v="96"/>
          </reference>
        </references>
      </pivotArea>
    </format>
    <format dxfId="79">
      <pivotArea collapsedLevelsAreSubtotals="1" fieldPosition="0">
        <references count="3">
          <reference field="4294967294" count="1" selected="0">
            <x v="0"/>
          </reference>
          <reference field="0" count="1" selected="0">
            <x v="96"/>
          </reference>
          <reference field="1" count="1">
            <x v="86"/>
          </reference>
        </references>
      </pivotArea>
    </format>
    <format dxfId="78">
      <pivotArea collapsedLevelsAreSubtotals="1" fieldPosition="0">
        <references count="2">
          <reference field="4294967294" count="1" selected="0">
            <x v="0"/>
          </reference>
          <reference field="0" count="1">
            <x v="154"/>
          </reference>
        </references>
      </pivotArea>
    </format>
    <format dxfId="77">
      <pivotArea collapsedLevelsAreSubtotals="1" fieldPosition="0">
        <references count="3">
          <reference field="4294967294" count="1" selected="0">
            <x v="0"/>
          </reference>
          <reference field="0" count="1" selected="0">
            <x v="154"/>
          </reference>
          <reference field="1" count="1">
            <x v="37"/>
          </reference>
        </references>
      </pivotArea>
    </format>
    <format dxfId="76">
      <pivotArea collapsedLevelsAreSubtotals="1" fieldPosition="0">
        <references count="2">
          <reference field="4294967294" count="1" selected="0">
            <x v="0"/>
          </reference>
          <reference field="0" count="1">
            <x v="150"/>
          </reference>
        </references>
      </pivotArea>
    </format>
    <format dxfId="75">
      <pivotArea collapsedLevelsAreSubtotals="1" fieldPosition="0">
        <references count="3">
          <reference field="4294967294" count="1" selected="0">
            <x v="0"/>
          </reference>
          <reference field="0" count="1" selected="0">
            <x v="150"/>
          </reference>
          <reference field="1" count="1">
            <x v="36"/>
          </reference>
        </references>
      </pivotArea>
    </format>
    <format dxfId="74">
      <pivotArea collapsedLevelsAreSubtotals="1" fieldPosition="0">
        <references count="2">
          <reference field="4294967294" count="1" selected="0">
            <x v="0"/>
          </reference>
          <reference field="0" count="1">
            <x v="39"/>
          </reference>
        </references>
      </pivotArea>
    </format>
    <format dxfId="73">
      <pivotArea collapsedLevelsAreSubtotals="1" fieldPosition="0">
        <references count="3">
          <reference field="4294967294" count="1" selected="0">
            <x v="0"/>
          </reference>
          <reference field="0" count="1" selected="0">
            <x v="39"/>
          </reference>
          <reference field="1" count="1">
            <x v="143"/>
          </reference>
        </references>
      </pivotArea>
    </format>
    <format dxfId="72">
      <pivotArea collapsedLevelsAreSubtotals="1" fieldPosition="0">
        <references count="2">
          <reference field="4294967294" count="1" selected="0">
            <x v="0"/>
          </reference>
          <reference field="0" count="1">
            <x v="35"/>
          </reference>
        </references>
      </pivotArea>
    </format>
    <format dxfId="71">
      <pivotArea collapsedLevelsAreSubtotals="1" fieldPosition="0">
        <references count="3">
          <reference field="4294967294" count="1" selected="0">
            <x v="0"/>
          </reference>
          <reference field="0" count="1" selected="0">
            <x v="35"/>
          </reference>
          <reference field="1" count="1">
            <x v="145"/>
          </reference>
        </references>
      </pivotArea>
    </format>
    <format dxfId="70">
      <pivotArea collapsedLevelsAreSubtotals="1" fieldPosition="0">
        <references count="2">
          <reference field="4294967294" count="1" selected="0">
            <x v="0"/>
          </reference>
          <reference field="0" count="1">
            <x v="74"/>
          </reference>
        </references>
      </pivotArea>
    </format>
    <format dxfId="69">
      <pivotArea collapsedLevelsAreSubtotals="1" fieldPosition="0">
        <references count="3">
          <reference field="4294967294" count="1" selected="0">
            <x v="0"/>
          </reference>
          <reference field="0" count="1" selected="0">
            <x v="74"/>
          </reference>
          <reference field="1" count="1">
            <x v="109"/>
          </reference>
        </references>
      </pivotArea>
    </format>
    <format dxfId="68">
      <pivotArea collapsedLevelsAreSubtotals="1" fieldPosition="0">
        <references count="2">
          <reference field="4294967294" count="1" selected="0">
            <x v="0"/>
          </reference>
          <reference field="0" count="1">
            <x v="124"/>
          </reference>
        </references>
      </pivotArea>
    </format>
    <format dxfId="67">
      <pivotArea collapsedLevelsAreSubtotals="1" fieldPosition="0">
        <references count="3">
          <reference field="4294967294" count="1" selected="0">
            <x v="0"/>
          </reference>
          <reference field="0" count="1" selected="0">
            <x v="124"/>
          </reference>
          <reference field="1" count="1">
            <x v="60"/>
          </reference>
        </references>
      </pivotArea>
    </format>
    <format dxfId="66">
      <pivotArea collapsedLevelsAreSubtotals="1" fieldPosition="0">
        <references count="2">
          <reference field="4294967294" count="1" selected="0">
            <x v="0"/>
          </reference>
          <reference field="0" count="1">
            <x v="54"/>
          </reference>
        </references>
      </pivotArea>
    </format>
    <format dxfId="65">
      <pivotArea collapsedLevelsAreSubtotals="1" fieldPosition="0">
        <references count="3">
          <reference field="4294967294" count="1" selected="0">
            <x v="0"/>
          </reference>
          <reference field="0" count="1" selected="0">
            <x v="54"/>
          </reference>
          <reference field="1" count="1">
            <x v="130"/>
          </reference>
        </references>
      </pivotArea>
    </format>
    <format dxfId="64">
      <pivotArea collapsedLevelsAreSubtotals="1" fieldPosition="0">
        <references count="2">
          <reference field="4294967294" count="1" selected="0">
            <x v="0"/>
          </reference>
          <reference field="0" count="1">
            <x v="177"/>
          </reference>
        </references>
      </pivotArea>
    </format>
    <format dxfId="63">
      <pivotArea collapsedLevelsAreSubtotals="1" fieldPosition="0">
        <references count="3">
          <reference field="4294967294" count="1" selected="0">
            <x v="0"/>
          </reference>
          <reference field="0" count="1" selected="0">
            <x v="177"/>
          </reference>
          <reference field="1" count="1">
            <x v="12"/>
          </reference>
        </references>
      </pivotArea>
    </format>
    <format dxfId="62">
      <pivotArea collapsedLevelsAreSubtotals="1" fieldPosition="0">
        <references count="2">
          <reference field="4294967294" count="1" selected="0">
            <x v="0"/>
          </reference>
          <reference field="0" count="1">
            <x v="130"/>
          </reference>
        </references>
      </pivotArea>
    </format>
    <format dxfId="61">
      <pivotArea collapsedLevelsAreSubtotals="1" fieldPosition="0">
        <references count="3">
          <reference field="4294967294" count="1" selected="0">
            <x v="0"/>
          </reference>
          <reference field="0" count="1" selected="0">
            <x v="130"/>
          </reference>
          <reference field="1" count="1">
            <x v="58"/>
          </reference>
        </references>
      </pivotArea>
    </format>
    <format dxfId="60">
      <pivotArea collapsedLevelsAreSubtotals="1" fieldPosition="0">
        <references count="2">
          <reference field="4294967294" count="1" selected="0">
            <x v="0"/>
          </reference>
          <reference field="0" count="1">
            <x v="24"/>
          </reference>
        </references>
      </pivotArea>
    </format>
    <format dxfId="59">
      <pivotArea collapsedLevelsAreSubtotals="1" fieldPosition="0">
        <references count="3">
          <reference field="4294967294" count="1" selected="0">
            <x v="0"/>
          </reference>
          <reference field="0" count="1" selected="0">
            <x v="24"/>
          </reference>
          <reference field="1" count="1">
            <x v="153"/>
          </reference>
        </references>
      </pivotArea>
    </format>
    <format dxfId="58">
      <pivotArea collapsedLevelsAreSubtotals="1" fieldPosition="0">
        <references count="2">
          <reference field="4294967294" count="1" selected="0">
            <x v="0"/>
          </reference>
          <reference field="0" count="1">
            <x v="16"/>
          </reference>
        </references>
      </pivotArea>
    </format>
    <format dxfId="57">
      <pivotArea collapsedLevelsAreSubtotals="1" fieldPosition="0">
        <references count="3">
          <reference field="4294967294" count="1" selected="0">
            <x v="0"/>
          </reference>
          <reference field="0" count="1" selected="0">
            <x v="16"/>
          </reference>
          <reference field="1" count="1">
            <x v="163"/>
          </reference>
        </references>
      </pivotArea>
    </format>
    <format dxfId="56">
      <pivotArea collapsedLevelsAreSubtotals="1" fieldPosition="0">
        <references count="2">
          <reference field="4294967294" count="1" selected="0">
            <x v="0"/>
          </reference>
          <reference field="0" count="1">
            <x v="66"/>
          </reference>
        </references>
      </pivotArea>
    </format>
    <format dxfId="55">
      <pivotArea collapsedLevelsAreSubtotals="1" fieldPosition="0">
        <references count="3">
          <reference field="4294967294" count="1" selected="0">
            <x v="0"/>
          </reference>
          <reference field="0" count="1" selected="0">
            <x v="66"/>
          </reference>
          <reference field="1" count="1">
            <x v="87"/>
          </reference>
        </references>
      </pivotArea>
    </format>
    <format dxfId="54">
      <pivotArea collapsedLevelsAreSubtotals="1" fieldPosition="0">
        <references count="2">
          <reference field="4294967294" count="1" selected="0">
            <x v="0"/>
          </reference>
          <reference field="0" count="1">
            <x v="42"/>
          </reference>
        </references>
      </pivotArea>
    </format>
    <format dxfId="53">
      <pivotArea collapsedLevelsAreSubtotals="1" fieldPosition="0">
        <references count="3">
          <reference field="4294967294" count="1" selected="0">
            <x v="0"/>
          </reference>
          <reference field="0" count="1" selected="0">
            <x v="42"/>
          </reference>
          <reference field="1" count="1">
            <x v="46"/>
          </reference>
        </references>
      </pivotArea>
    </format>
    <format dxfId="52">
      <pivotArea collapsedLevelsAreSubtotals="1" fieldPosition="0">
        <references count="2">
          <reference field="4294967294" count="1" selected="0">
            <x v="0"/>
          </reference>
          <reference field="0" count="1">
            <x v="45"/>
          </reference>
        </references>
      </pivotArea>
    </format>
    <format dxfId="51">
      <pivotArea collapsedLevelsAreSubtotals="1" fieldPosition="0">
        <references count="3">
          <reference field="4294967294" count="1" selected="0">
            <x v="0"/>
          </reference>
          <reference field="0" count="1" selected="0">
            <x v="45"/>
          </reference>
          <reference field="1" count="1">
            <x v="137"/>
          </reference>
        </references>
      </pivotArea>
    </format>
    <format dxfId="50">
      <pivotArea collapsedLevelsAreSubtotals="1" fieldPosition="0">
        <references count="2">
          <reference field="4294967294" count="1" selected="0">
            <x v="0"/>
          </reference>
          <reference field="0" count="1">
            <x v="91"/>
          </reference>
        </references>
      </pivotArea>
    </format>
    <format dxfId="49">
      <pivotArea collapsedLevelsAreSubtotals="1" fieldPosition="0">
        <references count="3">
          <reference field="4294967294" count="1" selected="0">
            <x v="0"/>
          </reference>
          <reference field="0" count="1" selected="0">
            <x v="91"/>
          </reference>
          <reference field="1" count="1">
            <x v="93"/>
          </reference>
        </references>
      </pivotArea>
    </format>
    <format dxfId="48">
      <pivotArea collapsedLevelsAreSubtotals="1" fieldPosition="0">
        <references count="2">
          <reference field="4294967294" count="1" selected="0">
            <x v="0"/>
          </reference>
          <reference field="0" count="1">
            <x v="120"/>
          </reference>
        </references>
      </pivotArea>
    </format>
    <format dxfId="47">
      <pivotArea collapsedLevelsAreSubtotals="1" fieldPosition="0">
        <references count="3">
          <reference field="4294967294" count="1" selected="0">
            <x v="0"/>
          </reference>
          <reference field="0" count="1" selected="0">
            <x v="120"/>
          </reference>
          <reference field="1" count="1">
            <x v="179"/>
          </reference>
        </references>
      </pivotArea>
    </format>
    <format dxfId="46">
      <pivotArea collapsedLevelsAreSubtotals="1" fieldPosition="0">
        <references count="2">
          <reference field="4294967294" count="1" selected="0">
            <x v="0"/>
          </reference>
          <reference field="0" count="1">
            <x v="6"/>
          </reference>
        </references>
      </pivotArea>
    </format>
    <format dxfId="45">
      <pivotArea collapsedLevelsAreSubtotals="1" fieldPosition="0">
        <references count="3">
          <reference field="4294967294" count="1" selected="0">
            <x v="0"/>
          </reference>
          <reference field="0" count="1" selected="0">
            <x v="6"/>
          </reference>
          <reference field="1" count="1">
            <x v="174"/>
          </reference>
        </references>
      </pivotArea>
    </format>
    <format dxfId="44">
      <pivotArea collapsedLevelsAreSubtotals="1" fieldPosition="0">
        <references count="2">
          <reference field="4294967294" count="1" selected="0">
            <x v="0"/>
          </reference>
          <reference field="0" count="1">
            <x v="156"/>
          </reference>
        </references>
      </pivotArea>
    </format>
    <format dxfId="43">
      <pivotArea collapsedLevelsAreSubtotals="1" fieldPosition="0">
        <references count="3">
          <reference field="4294967294" count="1" selected="0">
            <x v="0"/>
          </reference>
          <reference field="0" count="1" selected="0">
            <x v="156"/>
          </reference>
          <reference field="1" count="1">
            <x v="31"/>
          </reference>
        </references>
      </pivotArea>
    </format>
    <format dxfId="42">
      <pivotArea collapsedLevelsAreSubtotals="1" fieldPosition="0">
        <references count="2">
          <reference field="4294967294" count="1" selected="0">
            <x v="0"/>
          </reference>
          <reference field="0" count="1">
            <x v="72"/>
          </reference>
        </references>
      </pivotArea>
    </format>
    <format dxfId="41">
      <pivotArea collapsedLevelsAreSubtotals="1" fieldPosition="0">
        <references count="3">
          <reference field="4294967294" count="1" selected="0">
            <x v="0"/>
          </reference>
          <reference field="0" count="1" selected="0">
            <x v="72"/>
          </reference>
          <reference field="1" count="1">
            <x v="114"/>
          </reference>
        </references>
      </pivotArea>
    </format>
    <format dxfId="40">
      <pivotArea collapsedLevelsAreSubtotals="1" fieldPosition="0">
        <references count="2">
          <reference field="4294967294" count="1" selected="0">
            <x v="0"/>
          </reference>
          <reference field="0" count="1">
            <x v="93"/>
          </reference>
        </references>
      </pivotArea>
    </format>
    <format dxfId="39">
      <pivotArea collapsedLevelsAreSubtotals="1" fieldPosition="0">
        <references count="3">
          <reference field="4294967294" count="1" selected="0">
            <x v="0"/>
          </reference>
          <reference field="0" count="1" selected="0">
            <x v="93"/>
          </reference>
          <reference field="1" count="1">
            <x v="89"/>
          </reference>
        </references>
      </pivotArea>
    </format>
    <format dxfId="38">
      <pivotArea collapsedLevelsAreSubtotals="1" fieldPosition="0">
        <references count="2">
          <reference field="4294967294" count="1" selected="0">
            <x v="0"/>
          </reference>
          <reference field="0" count="1">
            <x v="7"/>
          </reference>
        </references>
      </pivotArea>
    </format>
    <format dxfId="37">
      <pivotArea collapsedLevelsAreSubtotals="1" fieldPosition="0">
        <references count="3">
          <reference field="4294967294" count="1" selected="0">
            <x v="0"/>
          </reference>
          <reference field="0" count="1" selected="0">
            <x v="7"/>
          </reference>
          <reference field="1" count="1">
            <x v="173"/>
          </reference>
        </references>
      </pivotArea>
    </format>
    <format dxfId="36">
      <pivotArea collapsedLevelsAreSubtotals="1" fieldPosition="0">
        <references count="2">
          <reference field="4294967294" count="1" selected="0">
            <x v="0"/>
          </reference>
          <reference field="0" count="1">
            <x v="103"/>
          </reference>
        </references>
      </pivotArea>
    </format>
    <format dxfId="35">
      <pivotArea collapsedLevelsAreSubtotals="1" fieldPosition="0">
        <references count="3">
          <reference field="4294967294" count="1" selected="0">
            <x v="0"/>
          </reference>
          <reference field="0" count="1" selected="0">
            <x v="103"/>
          </reference>
          <reference field="1" count="1">
            <x v="78"/>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14BAD97-A8AD-4041-B930-F5D4B7064767}" name="PivotTable3"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J4:M14" firstHeaderRow="0" firstDataRow="1" firstDataCol="1" rowPageCount="1" colPageCount="1"/>
  <pivotFields count="7">
    <pivotField axis="axisRow" showAll="0" measureFilter="1" sortType="descending">
      <items count="188">
        <item x="12"/>
        <item x="137"/>
        <item x="71"/>
        <item x="181"/>
        <item x="87"/>
        <item x="97"/>
        <item x="166"/>
        <item x="117"/>
        <item x="34"/>
        <item x="84"/>
        <item x="169"/>
        <item x="106"/>
        <item x="90"/>
        <item x="75"/>
        <item x="41"/>
        <item x="52"/>
        <item x="44"/>
        <item x="46"/>
        <item x="76"/>
        <item x="45"/>
        <item x="35"/>
        <item x="63"/>
        <item x="53"/>
        <item x="123"/>
        <item x="168"/>
        <item x="36"/>
        <item x="111"/>
        <item x="147"/>
        <item x="27"/>
        <item x="112"/>
        <item x="43"/>
        <item x="109"/>
        <item x="0"/>
        <item x="14"/>
        <item x="4"/>
        <item x="156"/>
        <item x="56"/>
        <item x="81"/>
        <item x="17"/>
        <item x="95"/>
        <item x="9"/>
        <item x="183"/>
        <item x="51"/>
        <item x="165"/>
        <item x="132"/>
        <item x="82"/>
        <item x="48"/>
        <item x="119"/>
        <item x="85"/>
        <item x="89"/>
        <item x="155"/>
        <item x="172"/>
        <item x="61"/>
        <item x="19"/>
        <item x="163"/>
        <item x="40"/>
        <item x="16"/>
        <item x="7"/>
        <item x="80"/>
        <item x="31"/>
        <item x="38"/>
        <item x="142"/>
        <item x="1"/>
        <item x="185"/>
        <item x="94"/>
        <item x="177"/>
        <item x="77"/>
        <item x="22"/>
        <item x="134"/>
        <item x="20"/>
        <item x="15"/>
        <item x="128"/>
        <item x="107"/>
        <item x="151"/>
        <item x="74"/>
        <item x="58"/>
        <item x="161"/>
        <item x="92"/>
        <item x="28"/>
        <item x="47"/>
        <item x="99"/>
        <item x="162"/>
        <item x="179"/>
        <item x="105"/>
        <item x="108"/>
        <item x="186"/>
        <item x="157"/>
        <item x="101"/>
        <item x="21"/>
        <item x="83"/>
        <item x="153"/>
        <item x="122"/>
        <item x="138"/>
        <item x="23"/>
        <item x="164"/>
        <item x="93"/>
        <item x="171"/>
        <item x="174"/>
        <item x="70"/>
        <item x="50"/>
        <item x="68"/>
        <item x="67"/>
        <item x="86"/>
        <item x="152"/>
        <item x="149"/>
        <item x="180"/>
        <item x="170"/>
        <item x="98"/>
        <item x="91"/>
        <item x="24"/>
        <item x="143"/>
        <item x="62"/>
        <item x="133"/>
        <item x="130"/>
        <item x="160"/>
        <item x="129"/>
        <item x="159"/>
        <item x="127"/>
        <item x="65"/>
        <item x="79"/>
        <item x="178"/>
        <item x="55"/>
        <item x="33"/>
        <item x="150"/>
        <item x="148"/>
        <item x="116"/>
        <item x="102"/>
        <item x="110"/>
        <item x="158"/>
        <item x="13"/>
        <item x="182"/>
        <item x="59"/>
        <item x="57"/>
        <item x="154"/>
        <item x="64"/>
        <item x="100"/>
        <item x="10"/>
        <item x="73"/>
        <item x="131"/>
        <item x="176"/>
        <item x="113"/>
        <item x="96"/>
        <item x="5"/>
        <item x="167"/>
        <item x="49"/>
        <item x="118"/>
        <item x="121"/>
        <item x="140"/>
        <item x="37"/>
        <item x="120"/>
        <item x="141"/>
        <item x="126"/>
        <item x="114"/>
        <item x="103"/>
        <item x="60"/>
        <item x="125"/>
        <item x="115"/>
        <item x="3"/>
        <item x="173"/>
        <item x="42"/>
        <item x="54"/>
        <item x="145"/>
        <item x="8"/>
        <item x="124"/>
        <item x="184"/>
        <item x="144"/>
        <item x="6"/>
        <item x="25"/>
        <item x="39"/>
        <item x="135"/>
        <item x="26"/>
        <item x="104"/>
        <item x="66"/>
        <item x="18"/>
        <item x="136"/>
        <item x="30"/>
        <item x="175"/>
        <item x="72"/>
        <item x="146"/>
        <item x="78"/>
        <item x="2"/>
        <item x="32"/>
        <item x="69"/>
        <item x="11"/>
        <item x="29"/>
        <item x="139"/>
        <item x="88"/>
        <item t="default"/>
      </items>
      <autoSortScope>
        <pivotArea dataOnly="0" outline="0" fieldPosition="0">
          <references count="1">
            <reference field="4294967294" count="1" selected="0">
              <x v="2"/>
            </reference>
          </references>
        </pivotArea>
      </autoSortScope>
    </pivotField>
    <pivotField showAll="0"/>
    <pivotField dataField="1" showAll="0"/>
    <pivotField showAll="0"/>
    <pivotField dataField="1" showAll="0"/>
    <pivotField dataField="1" showAll="0">
      <items count="179">
        <item x="25"/>
        <item x="176"/>
        <item x="124"/>
        <item x="143"/>
        <item x="94"/>
        <item x="95"/>
        <item x="150"/>
        <item x="51"/>
        <item x="96"/>
        <item x="88"/>
        <item x="125"/>
        <item x="147"/>
        <item x="122"/>
        <item x="110"/>
        <item x="177"/>
        <item x="144"/>
        <item x="127"/>
        <item x="85"/>
        <item x="170"/>
        <item x="175"/>
        <item x="146"/>
        <item x="130"/>
        <item x="55"/>
        <item x="137"/>
        <item x="153"/>
        <item x="71"/>
        <item x="141"/>
        <item x="174"/>
        <item x="158"/>
        <item x="154"/>
        <item x="164"/>
        <item x="36"/>
        <item x="82"/>
        <item x="42"/>
        <item x="100"/>
        <item x="98"/>
        <item x="173"/>
        <item x="155"/>
        <item x="67"/>
        <item x="139"/>
        <item x="152"/>
        <item x="12"/>
        <item x="140"/>
        <item x="103"/>
        <item x="30"/>
        <item x="93"/>
        <item x="107"/>
        <item x="58"/>
        <item x="14"/>
        <item x="163"/>
        <item x="49"/>
        <item x="167"/>
        <item x="73"/>
        <item x="89"/>
        <item x="136"/>
        <item x="65"/>
        <item x="115"/>
        <item x="121"/>
        <item x="132"/>
        <item x="23"/>
        <item x="50"/>
        <item x="87"/>
        <item x="169"/>
        <item x="76"/>
        <item x="61"/>
        <item x="68"/>
        <item x="171"/>
        <item x="162"/>
        <item x="160"/>
        <item x="148"/>
        <item x="114"/>
        <item x="10"/>
        <item x="34"/>
        <item x="79"/>
        <item x="151"/>
        <item x="116"/>
        <item x="161"/>
        <item x="101"/>
        <item x="43"/>
        <item x="149"/>
        <item x="118"/>
        <item x="90"/>
        <item x="165"/>
        <item x="27"/>
        <item x="102"/>
        <item x="31"/>
        <item x="22"/>
        <item x="106"/>
        <item x="133"/>
        <item x="47"/>
        <item x="126"/>
        <item x="72"/>
        <item x="35"/>
        <item x="172"/>
        <item x="74"/>
        <item x="80"/>
        <item x="78"/>
        <item x="129"/>
        <item x="37"/>
        <item x="97"/>
        <item x="84"/>
        <item x="28"/>
        <item x="46"/>
        <item x="131"/>
        <item x="8"/>
        <item x="108"/>
        <item x="53"/>
        <item x="119"/>
        <item x="86"/>
        <item x="145"/>
        <item x="111"/>
        <item x="157"/>
        <item x="117"/>
        <item x="32"/>
        <item x="15"/>
        <item x="6"/>
        <item x="60"/>
        <item x="13"/>
        <item x="17"/>
        <item x="48"/>
        <item x="75"/>
        <item x="3"/>
        <item x="70"/>
        <item x="45"/>
        <item x="64"/>
        <item x="59"/>
        <item x="109"/>
        <item x="168"/>
        <item x="81"/>
        <item x="128"/>
        <item x="26"/>
        <item x="83"/>
        <item x="138"/>
        <item x="19"/>
        <item x="66"/>
        <item x="92"/>
        <item x="24"/>
        <item x="166"/>
        <item x="120"/>
        <item x="18"/>
        <item x="7"/>
        <item x="104"/>
        <item x="99"/>
        <item x="40"/>
        <item x="20"/>
        <item x="62"/>
        <item x="142"/>
        <item x="44"/>
        <item x="9"/>
        <item x="112"/>
        <item x="29"/>
        <item x="113"/>
        <item x="135"/>
        <item x="33"/>
        <item x="41"/>
        <item x="63"/>
        <item x="77"/>
        <item x="105"/>
        <item x="159"/>
        <item x="39"/>
        <item x="56"/>
        <item x="38"/>
        <item x="69"/>
        <item x="57"/>
        <item x="2"/>
        <item x="54"/>
        <item x="16"/>
        <item x="21"/>
        <item x="52"/>
        <item x="123"/>
        <item x="156"/>
        <item x="91"/>
        <item x="134"/>
        <item x="11"/>
        <item x="5"/>
        <item x="4"/>
        <item x="1"/>
        <item x="0"/>
        <item t="default"/>
      </items>
    </pivotField>
    <pivotField axis="axisPage" showAll="0">
      <items count="3">
        <item x="1"/>
        <item x="0"/>
        <item t="default"/>
      </items>
    </pivotField>
  </pivotFields>
  <rowFields count="1">
    <field x="0"/>
  </rowFields>
  <rowItems count="10">
    <i>
      <x v="150"/>
    </i>
    <i>
      <x v="94"/>
    </i>
    <i>
      <x v="88"/>
    </i>
    <i>
      <x v="56"/>
    </i>
    <i>
      <x v="180"/>
    </i>
    <i>
      <x v="168"/>
    </i>
    <i>
      <x v="75"/>
    </i>
    <i>
      <x v="30"/>
    </i>
    <i>
      <x v="47"/>
    </i>
    <i>
      <x v="69"/>
    </i>
  </rowItems>
  <colFields count="1">
    <field x="-2"/>
  </colFields>
  <colItems count="3">
    <i>
      <x/>
    </i>
    <i i="1">
      <x v="1"/>
    </i>
    <i i="2">
      <x v="2"/>
    </i>
  </colItems>
  <pageFields count="1">
    <pageField fld="6" item="0" hier="-1"/>
  </pageFields>
  <dataFields count="3">
    <dataField name="Sum of Price (USD)" fld="2" baseField="0" baseItem="0"/>
    <dataField name="Sum of 1-Hour Before Price" fld="4" baseField="0" baseItem="0"/>
    <dataField name="Sum of Price Change Amount" fld="5" baseField="0" baseItem="0"/>
  </dataFields>
  <chartFormats count="9">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1"/>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2"/>
          </reference>
        </references>
      </pivotArea>
    </chartFormat>
    <chartFormat chart="8" format="4" series="1">
      <pivotArea type="data" outline="0" fieldPosition="0">
        <references count="1">
          <reference field="4294967294" count="1" selected="0">
            <x v="2"/>
          </reference>
        </references>
      </pivotArea>
    </chartFormat>
    <chartFormat chart="1" format="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4C5357F-1965-4CEB-8391-18D61C9A7F66}"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E3:F14" firstHeaderRow="1" firstDataRow="1" firstDataCol="1" rowPageCount="1" colPageCount="1"/>
  <pivotFields count="3">
    <pivotField axis="axisRow" showAll="0" measureFilter="1" sortType="descending">
      <items count="188">
        <item x="12"/>
        <item x="137"/>
        <item x="71"/>
        <item x="181"/>
        <item x="87"/>
        <item x="97"/>
        <item x="166"/>
        <item x="117"/>
        <item x="34"/>
        <item x="84"/>
        <item x="169"/>
        <item x="106"/>
        <item x="90"/>
        <item x="75"/>
        <item x="41"/>
        <item x="52"/>
        <item x="44"/>
        <item x="46"/>
        <item x="76"/>
        <item x="45"/>
        <item x="35"/>
        <item x="63"/>
        <item x="53"/>
        <item x="123"/>
        <item x="168"/>
        <item x="36"/>
        <item x="111"/>
        <item x="147"/>
        <item x="27"/>
        <item x="112"/>
        <item x="43"/>
        <item x="109"/>
        <item x="0"/>
        <item x="14"/>
        <item x="4"/>
        <item x="156"/>
        <item x="56"/>
        <item x="81"/>
        <item x="17"/>
        <item x="95"/>
        <item x="9"/>
        <item x="183"/>
        <item x="51"/>
        <item x="165"/>
        <item x="132"/>
        <item x="82"/>
        <item x="48"/>
        <item x="119"/>
        <item x="85"/>
        <item x="89"/>
        <item x="155"/>
        <item x="172"/>
        <item x="61"/>
        <item x="19"/>
        <item x="163"/>
        <item x="40"/>
        <item x="16"/>
        <item x="7"/>
        <item x="80"/>
        <item x="31"/>
        <item x="38"/>
        <item x="142"/>
        <item x="1"/>
        <item x="185"/>
        <item x="94"/>
        <item x="177"/>
        <item x="77"/>
        <item x="22"/>
        <item x="134"/>
        <item x="20"/>
        <item x="15"/>
        <item x="128"/>
        <item x="107"/>
        <item x="151"/>
        <item x="74"/>
        <item x="58"/>
        <item x="161"/>
        <item x="92"/>
        <item x="28"/>
        <item x="47"/>
        <item x="99"/>
        <item x="162"/>
        <item x="179"/>
        <item x="105"/>
        <item x="108"/>
        <item x="186"/>
        <item x="157"/>
        <item x="101"/>
        <item x="21"/>
        <item x="83"/>
        <item x="153"/>
        <item x="122"/>
        <item x="138"/>
        <item x="23"/>
        <item x="164"/>
        <item x="93"/>
        <item x="171"/>
        <item x="174"/>
        <item x="70"/>
        <item x="50"/>
        <item x="68"/>
        <item x="67"/>
        <item x="86"/>
        <item x="152"/>
        <item x="149"/>
        <item x="180"/>
        <item x="170"/>
        <item x="98"/>
        <item x="91"/>
        <item x="24"/>
        <item x="143"/>
        <item x="62"/>
        <item x="133"/>
        <item x="130"/>
        <item x="160"/>
        <item x="129"/>
        <item x="159"/>
        <item x="127"/>
        <item x="65"/>
        <item x="79"/>
        <item x="178"/>
        <item x="55"/>
        <item x="33"/>
        <item x="150"/>
        <item x="148"/>
        <item x="116"/>
        <item x="102"/>
        <item x="110"/>
        <item x="158"/>
        <item x="13"/>
        <item x="182"/>
        <item x="59"/>
        <item x="57"/>
        <item x="154"/>
        <item x="64"/>
        <item x="100"/>
        <item x="10"/>
        <item x="73"/>
        <item x="131"/>
        <item x="176"/>
        <item x="113"/>
        <item x="96"/>
        <item x="5"/>
        <item x="167"/>
        <item x="49"/>
        <item x="118"/>
        <item x="121"/>
        <item x="140"/>
        <item x="37"/>
        <item x="120"/>
        <item x="141"/>
        <item x="126"/>
        <item x="114"/>
        <item x="103"/>
        <item x="60"/>
        <item x="125"/>
        <item x="115"/>
        <item x="3"/>
        <item x="173"/>
        <item x="42"/>
        <item x="54"/>
        <item x="145"/>
        <item x="8"/>
        <item x="124"/>
        <item x="184"/>
        <item x="144"/>
        <item x="6"/>
        <item x="25"/>
        <item x="39"/>
        <item x="135"/>
        <item x="26"/>
        <item x="104"/>
        <item x="66"/>
        <item x="18"/>
        <item x="136"/>
        <item x="30"/>
        <item x="175"/>
        <item x="72"/>
        <item x="146"/>
        <item x="78"/>
        <item x="2"/>
        <item x="32"/>
        <item x="69"/>
        <item x="11"/>
        <item x="29"/>
        <item x="139"/>
        <item x="88"/>
        <item t="default"/>
      </items>
      <autoSortScope>
        <pivotArea dataOnly="0" outline="0" fieldPosition="0">
          <references count="1">
            <reference field="4294967294" count="1" selected="0">
              <x v="0"/>
            </reference>
          </references>
        </pivotArea>
      </autoSortScope>
    </pivotField>
    <pivotField dataField="1" showAll="0"/>
    <pivotField axis="axisPage" showAll="0">
      <items count="3">
        <item x="1"/>
        <item x="0"/>
        <item t="default"/>
      </items>
    </pivotField>
  </pivotFields>
  <rowFields count="1">
    <field x="0"/>
  </rowFields>
  <rowItems count="11">
    <i>
      <x v="32"/>
    </i>
    <i>
      <x v="62"/>
    </i>
    <i>
      <x v="166"/>
    </i>
    <i>
      <x v="34"/>
    </i>
    <i>
      <x v="57"/>
    </i>
    <i>
      <x v="40"/>
    </i>
    <i>
      <x v="33"/>
    </i>
    <i>
      <x/>
    </i>
    <i>
      <x v="36"/>
    </i>
    <i>
      <x v="53"/>
    </i>
    <i t="grand">
      <x/>
    </i>
  </rowItems>
  <colItems count="1">
    <i/>
  </colItems>
  <pageFields count="1">
    <pageField fld="2" item="1" hier="-1"/>
  </pageFields>
  <dataFields count="1">
    <dataField name="Sum of Volume (24h) USD" fld="1"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1B4B850-EA16-4630-9C76-5BE8D2BCB09C}"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F3:G191" firstHeaderRow="1" firstDataRow="1" firstDataCol="1" rowPageCount="1" colPageCount="1"/>
  <pivotFields count="4">
    <pivotField axis="axisRow" showAll="0" sortType="descending">
      <items count="188">
        <item x="12"/>
        <item x="137"/>
        <item x="71"/>
        <item x="181"/>
        <item x="87"/>
        <item x="97"/>
        <item x="166"/>
        <item x="117"/>
        <item x="34"/>
        <item x="84"/>
        <item x="169"/>
        <item x="106"/>
        <item x="90"/>
        <item x="75"/>
        <item x="41"/>
        <item x="52"/>
        <item x="44"/>
        <item x="46"/>
        <item x="76"/>
        <item x="45"/>
        <item x="35"/>
        <item x="63"/>
        <item x="53"/>
        <item x="123"/>
        <item x="168"/>
        <item x="36"/>
        <item x="111"/>
        <item x="147"/>
        <item x="27"/>
        <item x="112"/>
        <item x="43"/>
        <item x="109"/>
        <item x="0"/>
        <item x="14"/>
        <item x="4"/>
        <item x="156"/>
        <item x="56"/>
        <item x="81"/>
        <item x="17"/>
        <item x="95"/>
        <item x="9"/>
        <item x="183"/>
        <item x="51"/>
        <item x="165"/>
        <item x="132"/>
        <item x="82"/>
        <item x="48"/>
        <item x="119"/>
        <item x="85"/>
        <item x="89"/>
        <item x="155"/>
        <item x="172"/>
        <item x="61"/>
        <item x="19"/>
        <item x="163"/>
        <item x="40"/>
        <item x="16"/>
        <item x="7"/>
        <item x="80"/>
        <item x="31"/>
        <item x="38"/>
        <item x="142"/>
        <item x="1"/>
        <item x="185"/>
        <item x="94"/>
        <item x="177"/>
        <item x="77"/>
        <item x="22"/>
        <item x="134"/>
        <item x="20"/>
        <item x="15"/>
        <item x="128"/>
        <item x="107"/>
        <item x="151"/>
        <item x="74"/>
        <item x="58"/>
        <item x="161"/>
        <item x="92"/>
        <item x="28"/>
        <item x="47"/>
        <item x="99"/>
        <item x="162"/>
        <item x="179"/>
        <item x="105"/>
        <item x="108"/>
        <item x="186"/>
        <item x="157"/>
        <item x="101"/>
        <item x="21"/>
        <item x="83"/>
        <item x="153"/>
        <item x="122"/>
        <item x="138"/>
        <item x="23"/>
        <item x="164"/>
        <item x="93"/>
        <item x="171"/>
        <item x="174"/>
        <item x="70"/>
        <item x="50"/>
        <item x="68"/>
        <item x="67"/>
        <item x="86"/>
        <item x="152"/>
        <item x="149"/>
        <item x="180"/>
        <item x="170"/>
        <item x="98"/>
        <item x="91"/>
        <item x="24"/>
        <item x="143"/>
        <item x="62"/>
        <item x="133"/>
        <item x="130"/>
        <item x="160"/>
        <item x="129"/>
        <item x="159"/>
        <item x="127"/>
        <item x="65"/>
        <item x="79"/>
        <item x="178"/>
        <item x="55"/>
        <item x="33"/>
        <item x="150"/>
        <item x="148"/>
        <item x="116"/>
        <item x="102"/>
        <item x="110"/>
        <item x="158"/>
        <item x="13"/>
        <item x="182"/>
        <item x="59"/>
        <item x="57"/>
        <item x="154"/>
        <item x="64"/>
        <item x="100"/>
        <item x="10"/>
        <item x="73"/>
        <item x="131"/>
        <item x="176"/>
        <item x="113"/>
        <item x="96"/>
        <item x="5"/>
        <item x="167"/>
        <item x="49"/>
        <item x="118"/>
        <item x="121"/>
        <item x="140"/>
        <item x="37"/>
        <item x="120"/>
        <item x="141"/>
        <item x="126"/>
        <item x="114"/>
        <item x="103"/>
        <item x="60"/>
        <item x="125"/>
        <item x="115"/>
        <item x="3"/>
        <item x="173"/>
        <item x="42"/>
        <item x="54"/>
        <item x="145"/>
        <item x="8"/>
        <item x="124"/>
        <item x="184"/>
        <item x="144"/>
        <item x="6"/>
        <item x="25"/>
        <item x="39"/>
        <item x="135"/>
        <item x="26"/>
        <item x="104"/>
        <item x="66"/>
        <item x="18"/>
        <item x="136"/>
        <item x="30"/>
        <item x="175"/>
        <item x="72"/>
        <item x="146"/>
        <item x="78"/>
        <item x="2"/>
        <item x="32"/>
        <item x="69"/>
        <item x="11"/>
        <item x="29"/>
        <item x="139"/>
        <item x="88"/>
        <item t="default"/>
      </items>
      <autoSortScope>
        <pivotArea dataOnly="0" outline="0" fieldPosition="0">
          <references count="1">
            <reference field="4294967294" count="1" selected="0">
              <x v="0"/>
            </reference>
          </references>
        </pivotArea>
      </autoSortScope>
    </pivotField>
    <pivotField showAll="0"/>
    <pivotField dataField="1" showAll="0"/>
    <pivotField axis="axisPage" showAll="0">
      <items count="3">
        <item x="0"/>
        <item x="1"/>
        <item t="default"/>
      </items>
    </pivotField>
  </pivotFields>
  <rowFields count="1">
    <field x="0"/>
  </rowFields>
  <rowItems count="188">
    <i>
      <x v="157"/>
    </i>
    <i>
      <x v="32"/>
    </i>
    <i>
      <x v="62"/>
    </i>
    <i>
      <x v="166"/>
    </i>
    <i>
      <x v="142"/>
    </i>
    <i>
      <x v="180"/>
    </i>
    <i>
      <x v="34"/>
    </i>
    <i>
      <x v="57"/>
    </i>
    <i>
      <x v="40"/>
    </i>
    <i>
      <x v="162"/>
    </i>
    <i>
      <x v="183"/>
    </i>
    <i>
      <x v="101"/>
    </i>
    <i>
      <x v="136"/>
    </i>
    <i>
      <x v="69"/>
    </i>
    <i>
      <x v="137"/>
    </i>
    <i>
      <x v="145"/>
    </i>
    <i>
      <x v="107"/>
    </i>
    <i>
      <x v="67"/>
    </i>
    <i>
      <x v="33"/>
    </i>
    <i>
      <x/>
    </i>
    <i>
      <x v="36"/>
    </i>
    <i>
      <x v="53"/>
    </i>
    <i>
      <x v="88"/>
    </i>
    <i>
      <x v="129"/>
    </i>
    <i>
      <x v="38"/>
    </i>
    <i>
      <x v="70"/>
    </i>
    <i>
      <x v="173"/>
    </i>
    <i>
      <x v="111"/>
    </i>
    <i>
      <x v="18"/>
    </i>
    <i>
      <x v="79"/>
    </i>
    <i>
      <x v="144"/>
    </i>
    <i>
      <x v="37"/>
    </i>
    <i>
      <x v="60"/>
    </i>
    <i>
      <x v="52"/>
    </i>
    <i>
      <x v="25"/>
    </i>
    <i>
      <x v="148"/>
    </i>
    <i>
      <x v="46"/>
    </i>
    <i>
      <x v="178"/>
    </i>
    <i>
      <x v="134"/>
    </i>
    <i>
      <x v="172"/>
    </i>
    <i>
      <x v="58"/>
    </i>
    <i>
      <x v="177"/>
    </i>
    <i>
      <x v="168"/>
    </i>
    <i>
      <x v="55"/>
    </i>
    <i>
      <x v="14"/>
    </i>
    <i>
      <x v="15"/>
    </i>
    <i>
      <x v="31"/>
    </i>
    <i>
      <x v="7"/>
    </i>
    <i>
      <x v="20"/>
    </i>
    <i>
      <x v="66"/>
    </i>
    <i>
      <x v="93"/>
    </i>
    <i>
      <x v="121"/>
    </i>
    <i>
      <x v="8"/>
    </i>
    <i>
      <x v="182"/>
    </i>
    <i>
      <x v="155"/>
    </i>
    <i>
      <x v="56"/>
    </i>
    <i>
      <x v="19"/>
    </i>
    <i>
      <x v="119"/>
    </i>
    <i>
      <x v="175"/>
    </i>
    <i>
      <x v="127"/>
    </i>
    <i>
      <x v="87"/>
    </i>
    <i>
      <x v="78"/>
    </i>
    <i>
      <x v="108"/>
    </i>
    <i>
      <x v="2"/>
    </i>
    <i>
      <x v="102"/>
    </i>
    <i>
      <x v="42"/>
    </i>
    <i>
      <x v="39"/>
    </i>
    <i>
      <x v="16"/>
    </i>
    <i>
      <x v="141"/>
    </i>
    <i>
      <x v="167"/>
    </i>
    <i>
      <x v="28"/>
    </i>
    <i>
      <x v="17"/>
    </i>
    <i>
      <x v="126"/>
    </i>
    <i>
      <x v="169"/>
    </i>
    <i>
      <x v="174"/>
    </i>
    <i>
      <x v="89"/>
    </i>
    <i>
      <x v="110"/>
    </i>
    <i>
      <x v="75"/>
    </i>
    <i>
      <x v="122"/>
    </i>
    <i>
      <x v="35"/>
    </i>
    <i>
      <x v="22"/>
    </i>
    <i>
      <x v="128"/>
    </i>
    <i>
      <x v="149"/>
    </i>
    <i>
      <x v="48"/>
    </i>
    <i>
      <x v="133"/>
    </i>
    <i>
      <x v="83"/>
    </i>
    <i>
      <x v="74"/>
    </i>
    <i>
      <x v="170"/>
    </i>
    <i>
      <x v="109"/>
    </i>
    <i>
      <x v="99"/>
    </i>
    <i>
      <x v="45"/>
    </i>
    <i>
      <x v="140"/>
    </i>
    <i>
      <x v="181"/>
    </i>
    <i>
      <x v="146"/>
    </i>
    <i>
      <x v="185"/>
    </i>
    <i>
      <x v="50"/>
    </i>
    <i>
      <x v="91"/>
    </i>
    <i>
      <x v="147"/>
    </i>
    <i>
      <x v="84"/>
    </i>
    <i>
      <x v="154"/>
    </i>
    <i>
      <x v="49"/>
    </i>
    <i>
      <x v="11"/>
    </i>
    <i>
      <x v="94"/>
    </i>
    <i>
      <x v="171"/>
    </i>
    <i>
      <x v="106"/>
    </i>
    <i>
      <x v="135"/>
    </i>
    <i>
      <x v="76"/>
    </i>
    <i>
      <x v="10"/>
    </i>
    <i>
      <x v="179"/>
    </i>
    <i>
      <x v="113"/>
    </i>
    <i>
      <x v="82"/>
    </i>
    <i>
      <x v="118"/>
    </i>
    <i>
      <x v="161"/>
    </i>
    <i>
      <x v="12"/>
    </i>
    <i>
      <x v="73"/>
    </i>
    <i>
      <x v="59"/>
    </i>
    <i>
      <x v="112"/>
    </i>
    <i>
      <x v="21"/>
    </i>
    <i>
      <x v="103"/>
    </i>
    <i>
      <x v="184"/>
    </i>
    <i>
      <x v="68"/>
    </i>
    <i>
      <x v="153"/>
    </i>
    <i>
      <x v="30"/>
    </i>
    <i>
      <x v="165"/>
    </i>
    <i>
      <x v="163"/>
    </i>
    <i>
      <x v="54"/>
    </i>
    <i>
      <x v="158"/>
    </i>
    <i>
      <x v="156"/>
    </i>
    <i>
      <x v="151"/>
    </i>
    <i>
      <x v="186"/>
    </i>
    <i>
      <x v="43"/>
    </i>
    <i>
      <x v="132"/>
    </i>
    <i>
      <x v="64"/>
    </i>
    <i>
      <x v="44"/>
    </i>
    <i>
      <x v="77"/>
    </i>
    <i>
      <x v="96"/>
    </i>
    <i>
      <x v="71"/>
    </i>
    <i>
      <x v="98"/>
    </i>
    <i>
      <x v="114"/>
    </i>
    <i>
      <x v="100"/>
    </i>
    <i>
      <x v="5"/>
    </i>
    <i>
      <x v="104"/>
    </i>
    <i>
      <x v="85"/>
    </i>
    <i>
      <x v="125"/>
    </i>
    <i>
      <x v="130"/>
    </i>
    <i>
      <x v="27"/>
    </i>
    <i>
      <x v="86"/>
    </i>
    <i>
      <x v="29"/>
    </i>
    <i>
      <x v="143"/>
    </i>
    <i>
      <x v="120"/>
    </i>
    <i>
      <x v="138"/>
    </i>
    <i>
      <x v="24"/>
    </i>
    <i>
      <x v="81"/>
    </i>
    <i>
      <x v="160"/>
    </i>
    <i>
      <x v="13"/>
    </i>
    <i>
      <x v="3"/>
    </i>
    <i>
      <x v="65"/>
    </i>
    <i>
      <x v="117"/>
    </i>
    <i>
      <x v="61"/>
    </i>
    <i>
      <x v="9"/>
    </i>
    <i>
      <x v="1"/>
    </i>
    <i>
      <x v="41"/>
    </i>
    <i>
      <x v="51"/>
    </i>
    <i>
      <x v="97"/>
    </i>
    <i>
      <x v="4"/>
    </i>
    <i>
      <x v="131"/>
    </i>
    <i>
      <x v="72"/>
    </i>
    <i>
      <x v="23"/>
    </i>
    <i>
      <x v="92"/>
    </i>
    <i>
      <x v="164"/>
    </i>
    <i>
      <x v="150"/>
    </i>
    <i>
      <x v="26"/>
    </i>
    <i>
      <x v="159"/>
    </i>
    <i>
      <x v="116"/>
    </i>
    <i>
      <x v="152"/>
    </i>
    <i>
      <x v="90"/>
    </i>
    <i>
      <x v="6"/>
    </i>
    <i>
      <x v="124"/>
    </i>
    <i>
      <x v="115"/>
    </i>
    <i>
      <x v="139"/>
    </i>
    <i>
      <x v="176"/>
    </i>
    <i>
      <x v="95"/>
    </i>
    <i>
      <x v="123"/>
    </i>
    <i>
      <x v="105"/>
    </i>
    <i>
      <x v="80"/>
    </i>
    <i>
      <x v="63"/>
    </i>
    <i>
      <x v="47"/>
    </i>
    <i t="grand">
      <x/>
    </i>
  </rowItems>
  <colItems count="1">
    <i/>
  </colItems>
  <pageFields count="1">
    <pageField fld="3" hier="-1"/>
  </pageFields>
  <dataFields count="1">
    <dataField name="Sum of Volume (24h) USD"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C8EA842-74B6-44DC-BF38-FE5B7FECF74C}" autoFormatId="16" applyNumberFormats="0" applyBorderFormats="0" applyFontFormats="0" applyPatternFormats="0" applyAlignmentFormats="0" applyWidthHeightFormats="0">
  <queryTableRefresh nextId="20" unboundColumnsRight="11">
    <queryTableFields count="19">
      <queryTableField id="1" name="Coin Name" tableColumnId="1"/>
      <queryTableField id="2" name="Symbol" tableColumnId="2"/>
      <queryTableField id="3" name="Price (USD)" tableColumnId="3"/>
      <queryTableField id="4" name="1h Change (%)" tableColumnId="4"/>
      <queryTableField id="5" name="Market Cap" tableColumnId="5"/>
      <queryTableField id="6" name="Volume (24h) USD" tableColumnId="6"/>
      <queryTableField id="7" name="Circulating Supply" tableColumnId="7"/>
      <queryTableField id="8" name="Circulating_Supply($)"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 xr10:uid="{78BA1BCC-2707-4BC0-B5E6-24B78BE204C6}" sourceName="Price Range">
  <pivotTables>
    <pivotTable tabId="3" name="PivotTable1"/>
    <pivotTable tabId="3" name="PivotTable2"/>
    <pivotTable tabId="3" name="PivotTable3"/>
    <pivotTable tabId="3" name="PivotTable5"/>
    <pivotTable tabId="3" name="PivotTable4"/>
    <pivotTable tabId="3" name="PivotTable6"/>
    <pivotTable tabId="3" name="PivotTable7"/>
    <pivotTable tabId="3" name="PivotTable8"/>
    <pivotTable tabId="4" name="PivotTable10"/>
  </pivotTables>
  <data>
    <tabular pivotCacheId="1160216267">
      <items count="7">
        <i x="3" s="1"/>
        <i x="4" s="1"/>
        <i x="0" s="1"/>
        <i x="1" s="1"/>
        <i x="5" s="1"/>
        <i x="6"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_New" xr10:uid="{5BE1CACE-D87B-49BB-B9B5-8B370878F9B9}" sourceName="Price Range New">
  <pivotTables>
    <pivotTable tabId="5" name="PivotTable3"/>
  </pivotTables>
  <data>
    <tabular pivotCacheId="1160216267">
      <items count="5">
        <i x="0" s="1"/>
        <i x="4" s="1"/>
        <i x="2"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1" xr10:uid="{E1D88442-F88C-4CA0-9682-8BE827D8DF5F}" sourceName="Price Range">
  <pivotTables>
    <pivotTable tabId="7" name="PivotTable3"/>
  </pivotTables>
  <data>
    <tabular pivotCacheId="1123524723">
      <items count="2">
        <i x="1" s="1"/>
        <i x="0"/>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 xr10:uid="{BB4778CF-1B8E-470E-B141-C35E70661C3B}" sourceName="Price Category">
  <pivotTables>
    <pivotTable tabId="10" name="PivotTable1"/>
  </pivotTables>
  <data>
    <tabular pivotCacheId="1605833694">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xr10:uid="{94B4B2F0-83CA-40C4-95E6-4402AE98B0C5}" cache="Slicer_Price_Range" caption="Price Rang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1" xr10:uid="{B62CF142-C370-4CEF-B8B7-0F4F2D3780A9}" cache="Slicer_Price_Range" caption="Price Range"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New" xr10:uid="{89358830-008A-410E-8B4A-B3BE9B37F8C4}" cache="Slicer_Price_Range_New" caption="Price Range New"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2" xr10:uid="{C1D95BC2-236E-4CD6-86A6-8F04E7FA5EA9}" cache="Slicer_Price_Range1" caption="Price Range"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xr10:uid="{0D204619-525B-4379-BDB9-727C8374FA8D}" cache="Slicer_Price_Category" caption="Price Category" rowHeight="2349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922C0D7-0200-4F4D-9B09-86F66501EB42}" name="Table2" displayName="Table2" ref="A1:G201" totalsRowShown="0" headerRowDxfId="429" headerRowBorderDxfId="428" tableBorderDxfId="427">
  <autoFilter ref="A1:G201" xr:uid="{E922C0D7-0200-4F4D-9B09-86F66501EB42}"/>
  <tableColumns count="7">
    <tableColumn id="1" xr3:uid="{D9CEDE95-0E7E-426A-B65D-D6D0727AC361}" name="Coin Name"/>
    <tableColumn id="2" xr3:uid="{ADA3D6F6-5024-4935-8F36-A9C5683891A5}" name="Symbol"/>
    <tableColumn id="3" xr3:uid="{BDDD2D9E-931A-40C5-9B73-FE27A540C518}" name="Price (USD)"/>
    <tableColumn id="4" xr3:uid="{1F92D4E6-F315-44FF-B187-D7D11ABE876D}" name="1h Change (%)"/>
    <tableColumn id="5" xr3:uid="{B1474A2C-8093-4E70-99CF-AA40BC07B39A}" name="Market Cap"/>
    <tableColumn id="6" xr3:uid="{0776FCBD-A539-499E-BD1A-13209743DB7E}" name="Volume (24h) USD"/>
    <tableColumn id="7" xr3:uid="{D50A0AB0-E56B-42AC-A655-F440F4732F05}" name="Circulating Supply"/>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CF10AF3-C094-4627-9BE7-673B5B7AF710}" name="Cleaned_Data" displayName="Cleaned_Data" ref="A1:S188" tableType="queryTable" totalsRowShown="0">
  <autoFilter ref="A1:S188" xr:uid="{CCF10AF3-C094-4627-9BE7-673B5B7AF710}"/>
  <tableColumns count="19">
    <tableColumn id="1" xr3:uid="{B0AF82CC-2F13-4597-98DD-5DD6EDEDF6C5}" uniqueName="1" name="Coin Name" queryTableFieldId="1" dataDxfId="426"/>
    <tableColumn id="2" xr3:uid="{91DDA480-9591-4B4C-8366-2A45E1FEDD52}" uniqueName="2" name="Symbol" queryTableFieldId="2" dataDxfId="425"/>
    <tableColumn id="3" xr3:uid="{9B5FA3F1-4122-4B64-9CA6-E4209032B398}" uniqueName="3" name="Price (USD)" queryTableFieldId="3"/>
    <tableColumn id="4" xr3:uid="{63F31F4D-C148-448C-9605-70313269D754}" uniqueName="4" name="1h Change (%)" queryTableFieldId="4"/>
    <tableColumn id="5" xr3:uid="{4987BDCD-1DC6-4395-8EDD-E875C55E6390}" uniqueName="5" name="Market Cap" queryTableFieldId="5"/>
    <tableColumn id="6" xr3:uid="{5DC02097-AAD3-457F-B56B-BCD0490B02AD}" uniqueName="6" name="Volume (24h) USD" queryTableFieldId="6"/>
    <tableColumn id="7" xr3:uid="{DEC48AFF-71D6-4118-9EFC-8F1E978BF7B2}" uniqueName="7" name="Circulating Supply" queryTableFieldId="7" dataDxfId="424"/>
    <tableColumn id="8" xr3:uid="{89341FEB-49FC-454F-8A15-7ADE20813C03}" uniqueName="8" name="Circulating_Supply($)" queryTableFieldId="8"/>
    <tableColumn id="9" xr3:uid="{9F399AD7-FFB0-452D-9705-4AC7D7963186}" uniqueName="9" name="$Volume per Supply" queryTableFieldId="9" dataDxfId="423">
      <calculatedColumnFormula>Cleaned_Data[[#This Row],[Volume (24h) USD]]/Cleaned_Data[[#This Row],[Circulating_Supply($)]]</calculatedColumnFormula>
    </tableColumn>
    <tableColumn id="10" xr3:uid="{641FF51E-AAD6-43D6-BDA0-C30B083502C4}" uniqueName="10" name="Rank" queryTableFieldId="10" dataDxfId="422">
      <calculatedColumnFormula>RANK(Cleaned_Data[[#This Row],[Market Cap]],Cleaned_Data[Market Cap],0)</calculatedColumnFormula>
    </tableColumn>
    <tableColumn id="11" xr3:uid="{CEB4B064-802C-4931-9C65-C20ECEEB945F}" uniqueName="11" name="Price Range" queryTableFieldId="11" dataDxfId="421">
      <calculatedColumnFormula>IF(C2&lt;=0.5,"0-0.5",
IF(C2&lt;=1,"0.5-1",
IF(C2&lt;=2,"1-2",
IF(C2&lt;=10,"2-10",
IF(C2&lt;=100,"10-100",
IF(C2&lt;=10000,"100-10000",
"10000+"))))))</calculatedColumnFormula>
    </tableColumn>
    <tableColumn id="12" xr3:uid="{5EC09D7F-A623-4E42-A652-69A6F46C1275}" uniqueName="12" name="24h Change (%)" queryTableFieldId="12" dataDxfId="420">
      <calculatedColumnFormula>Cleaned_Data[[#This Row],[1h Change (%)]]*24</calculatedColumnFormula>
    </tableColumn>
    <tableColumn id="13" xr3:uid="{DB45F6AD-E403-4B60-975D-A759AD70F54F}" uniqueName="13" name="7d Change (%)" queryTableFieldId="13" dataDxfId="419">
      <calculatedColumnFormula>Cleaned_Data[[#This Row],[24h Change (%)]]*7</calculatedColumnFormula>
    </tableColumn>
    <tableColumn id="14" xr3:uid="{9430D638-0242-442F-B838-129297787207}" uniqueName="14" name="Price Range New" queryTableFieldId="14" dataDxfId="418">
      <calculatedColumnFormula array="1">_xlfn.IFS(Cleaned_Data[[#This Row],[Price (USD)]]&lt;0.05,"0 - 0.05",Cleaned_Data[[#This Row],[Price (USD)]]&lt;0.5,"0.05 - 0.5",Cleaned_Data[[#This Row],[Price (USD)]]&lt;5,"0.5 - 5",Cleaned_Data[[#This Row],[Price (USD)]]&lt;50,"5 - 50",Cleaned_Data[[#This Row],[Price (USD)]]&gt;=50,"&gt; 50")</calculatedColumnFormula>
    </tableColumn>
    <tableColumn id="15" xr3:uid="{5E898F33-73C4-4193-9298-45975F911BC9}" uniqueName="15" name="Average Downfall %" queryTableFieldId="15" dataDxfId="417">
      <calculatedColumnFormula>(Cleaned_Data[[#This Row],[1h Change (%)]]+Cleaned_Data[[#This Row],[24h Change (%)]]+Cleaned_Data[[#This Row],[7d Change (%)]])/3</calculatedColumnFormula>
    </tableColumn>
    <tableColumn id="16" xr3:uid="{6B724FCA-43BD-45A6-BFBD-CC8827C6DB32}" uniqueName="16" name="1-Hour Before Price" queryTableFieldId="16" dataDxfId="416">
      <calculatedColumnFormula>Cleaned_Data[[#This Row],[Price (USD)]]/(1+Cleaned_Data[[#This Row],[1h Change (%)]]/100)</calculatedColumnFormula>
    </tableColumn>
    <tableColumn id="17" xr3:uid="{794844D9-48CE-46A4-887D-C48B2D038E6B}" uniqueName="17" name="24-Hour Before Price (Decrease)" queryTableFieldId="17" dataDxfId="415">
      <calculatedColumnFormula>Cleaned_Data[[#This Row],[Price (USD)]]/(1-Cleaned_Data[[#This Row],[24h Change (%)]]/100)</calculatedColumnFormula>
    </tableColumn>
    <tableColumn id="18" xr3:uid="{5186EA56-23EA-4710-8634-951EF6B40AFF}" uniqueName="18" name="7-Day Before Price" queryTableFieldId="18" dataDxfId="414">
      <calculatedColumnFormula>Cleaned_Data[[#This Row],[Price (USD)]]/(1+Cleaned_Data[[#This Row],[7d Change (%)]]/100)</calculatedColumnFormula>
    </tableColumn>
    <tableColumn id="19" xr3:uid="{81A6BEBE-6A66-4F41-93B5-072C54B91F5C}" uniqueName="19" name="Price Change Amount (1 hr)" queryTableFieldId="19" dataDxfId="413">
      <calculatedColumnFormula>Cleaned_Data[[#This Row],[Price (USD)]]-Cleaned_Data[[#This Row],[1-Hour Before Price]]</calculatedColumnFormula>
    </tableColumn>
  </tableColumns>
  <tableStyleInfo name="TableStyleMedium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B86F54-B603-43DB-AE1B-FCB66C17B843}" name="Table4" displayName="Table4" ref="A1:H22" totalsRowShown="0" headerRowDxfId="34" headerRowBorderDxfId="33" tableBorderDxfId="32" totalsRowBorderDxfId="31">
  <autoFilter ref="A1:H22" xr:uid="{21B86F54-B603-43DB-AE1B-FCB66C17B843}">
    <filterColumn colId="1">
      <customFilters and="1">
        <customFilter operator="greaterThanOrEqual" val="0"/>
        <customFilter operator="lessThanOrEqual" val="5"/>
      </customFilters>
    </filterColumn>
  </autoFilter>
  <sortState xmlns:xlrd2="http://schemas.microsoft.com/office/spreadsheetml/2017/richdata2" ref="A4:H22">
    <sortCondition descending="1" ref="F2:F22"/>
  </sortState>
  <tableColumns count="8">
    <tableColumn id="1" xr3:uid="{4FFD9D4D-E852-4A0A-B08F-08578C103950}" name="Coin Name" dataDxfId="30"/>
    <tableColumn id="2" xr3:uid="{AA614EAA-62FA-4DBA-966F-71955394B9E5}" name="Price (USD)" dataDxfId="29"/>
    <tableColumn id="3" xr3:uid="{5A782805-BA13-4EF2-B1D0-980DBE444C51}" name="1h Change (%)" dataDxfId="28"/>
    <tableColumn id="4" xr3:uid="{9D334A05-FF0C-4D3B-9F76-E272EB44B7A6}" name="24h Change (%)" dataDxfId="27">
      <calculatedColumnFormula>Table4[[#This Row],[1h Change (%)]]*24</calculatedColumnFormula>
    </tableColumn>
    <tableColumn id="5" xr3:uid="{EA0D34C1-EB7C-4163-8B7B-D85B845AF924}" name="7d Change (%)" dataDxfId="26">
      <calculatedColumnFormula>Table4[[#This Row],[24h Change (%)]]*7</calculatedColumnFormula>
    </tableColumn>
    <tableColumn id="6" xr3:uid="{EB1C1F18-87FA-4F32-AAE0-4D59FC419E27}" name="1-Hour Before Price" dataDxfId="25">
      <calculatedColumnFormula xml:space="preserve"> B2 / (1 + C2/100)</calculatedColumnFormula>
    </tableColumn>
    <tableColumn id="7" xr3:uid="{86ADC9EE-E231-43E1-9427-30E5D7449479}" name="24-Hour Before Price (Decrease)" dataDxfId="24">
      <calculatedColumnFormula xml:space="preserve"> B2 / (1 - D2/100)</calculatedColumnFormula>
    </tableColumn>
    <tableColumn id="8" xr3:uid="{F0F557A0-DA47-46B6-AF0F-D754976743AB}" name="7-Day Before Price" dataDxfId="23">
      <calculatedColumnFormula xml:space="preserve"> B2 / (1 + E2/100)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6C77AC3-D6C2-4EF9-9A43-7613AC5B6482}" name="Table3" displayName="Table3" ref="A1:G188" totalsRowShown="0">
  <autoFilter ref="A1:G188" xr:uid="{E6C77AC3-D6C2-4EF9-9A43-7613AC5B6482}"/>
  <tableColumns count="7">
    <tableColumn id="1" xr3:uid="{D2DFD843-390C-4561-8A4D-53632A10371B}" name="Coin Name" dataDxfId="22"/>
    <tableColumn id="2" xr3:uid="{B08C1030-C106-46FD-AFB8-C49894B043FC}" name="Symbol" dataDxfId="21"/>
    <tableColumn id="3" xr3:uid="{6C38700B-155C-48AA-944C-0264E081C437}" name="Price (USD)" dataDxfId="20"/>
    <tableColumn id="4" xr3:uid="{6C911DC4-592C-4DBF-891A-FC621AB8A423}" name="1h Change (%)" dataDxfId="19"/>
    <tableColumn id="5" xr3:uid="{3D9DFB5A-B6FB-423C-922F-893653C306AC}" name="1-Hour Before Price">
      <calculatedColumnFormula xml:space="preserve"> C2 / (1 + D2/100)</calculatedColumnFormula>
    </tableColumn>
    <tableColumn id="6" xr3:uid="{3E490563-4D71-43F0-B1B8-6F1D86CBD288}" name="Price Change Amount">
      <calculatedColumnFormula xml:space="preserve"> C2 - E2</calculatedColumnFormula>
    </tableColumn>
    <tableColumn id="7" xr3:uid="{9E049615-D953-41AE-BFBA-4BFB74D67F03}" name="Price Range">
      <calculatedColumnFormula>IF(C2&gt;=10, "&gt;= $10", "&lt; $10")</calculatedColumnFormula>
    </tableColumn>
  </tableColumns>
  <tableStyleInfo name="TableStyleMedium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5B2763D-27A9-47C4-8002-9FF4ABBB5B84}" name="Table5" displayName="Table5" ref="A1:C188" totalsRowShown="0">
  <autoFilter ref="A1:C188" xr:uid="{55B2763D-27A9-47C4-8002-9FF4ABBB5B84}"/>
  <tableColumns count="3">
    <tableColumn id="1" xr3:uid="{DB3057AC-55F9-48FE-938D-FC2C5051077C}" name="Coin Name" dataDxfId="18"/>
    <tableColumn id="2" xr3:uid="{272CF575-08E7-4D7B-B60D-494BABE35EB3}" name="Volume (24h) USD" dataDxfId="17"/>
    <tableColumn id="3" xr3:uid="{E6D1940C-0465-485B-8163-4F351D868B9E}" name="Valid Coin" dataDxfId="16">
      <calculatedColumnFormula>IF(OR(
LEFT(Table5[[#This Row],[Coin Name]],1)="A",
LEFT(Table5[[#This Row],[Coin Name]],1)="E",
LEFT(Table5[[#This Row],[Coin Name]],1)="I",
LEFT(Table5[[#This Row],[Coin Name]],1)="O",
LEFT(Table5[[#This Row],[Coin Name]],1)="U",
LEFT(Table5[[#This Row],[Coin Name]],1)="B",
LEFT(Table5[[#This Row],[Coin Name]],1)="C",
LEFT(Table5[[#This Row],[Coin Name]],1)="D"
), "Yes", "No")</calculatedColumnFormula>
    </tableColumn>
  </tableColumns>
  <tableStyleInfo name="TableStyleMedium1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C7C9F25-5974-4A86-90F8-2A52160E22D3}" name="CryptoTable" displayName="CryptoTable" ref="A1:F188" totalsRowShown="0" headerRowDxfId="15" dataDxfId="13" headerRowBorderDxfId="14" tableBorderDxfId="12" totalsRowBorderDxfId="11">
  <autoFilter ref="A1:F188" xr:uid="{FC7C9F25-5974-4A86-90F8-2A52160E22D3}"/>
  <tableColumns count="6">
    <tableColumn id="1" xr3:uid="{6B76FEE2-CB99-49D0-9FA1-1011ED3EDF37}" name="Coin Name" dataDxfId="10"/>
    <tableColumn id="2" xr3:uid="{C5CBACE8-F439-4FFE-9963-2518B614E23F}" name="Symbol" dataDxfId="9"/>
    <tableColumn id="3" xr3:uid="{DB0C4672-BC6F-497D-B6A0-EDA23E0D2005}" name="Price (USD)" dataDxfId="8"/>
    <tableColumn id="4" xr3:uid="{362651CA-BBBE-488D-9D72-29175642EB2E}" name="Volume (24h) USD" dataDxfId="7"/>
    <tableColumn id="5" xr3:uid="{29F9824E-A49D-4701-91EA-2BDF1071F464}" name="Market Cap" dataDxfId="6"/>
    <tableColumn id="6" xr3:uid="{B2FA695C-F388-4C46-9907-22FBA4F4684C}" name="Circulating_Supply($)" dataDxfId="5"/>
  </tableColumns>
  <tableStyleInfo name="TableStyleMedium1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3D89130-2CEC-4A09-A8F0-087D2122D8D1}" name="Table7" displayName="Table7" ref="A1:D188" totalsRowShown="0" tableBorderDxfId="4">
  <autoFilter ref="A1:D188" xr:uid="{23D89130-2CEC-4A09-A8F0-087D2122D8D1}"/>
  <tableColumns count="4">
    <tableColumn id="1" xr3:uid="{462B6B13-8297-41D9-A911-83139CA008D7}" name="Coin Name" dataDxfId="3"/>
    <tableColumn id="2" xr3:uid="{7530B790-F4EC-41A5-AA30-7E2BF7A669D4}" name="Price" dataDxfId="2"/>
    <tableColumn id="3" xr3:uid="{9DDA3F18-2908-4665-9AD1-58F97C619486}" name="Volume (24h) USD" dataDxfId="1"/>
    <tableColumn id="4" xr3:uid="{4376A531-599A-49C7-9756-773844B9B65A}" name="Price Category" dataDxfId="0">
      <calculatedColumnFormula>IF(Table7[[#This Row],[Price]]&lt;=50,"0 to 50 $","&gt; 50 $")</calculatedColumnFormula>
    </tableColumn>
  </tableColumns>
  <tableStyleInfo name="TableStyleMedium1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DB939D2-FA45-4C3C-9EC0-59C92A9212D0}" name="Table8" displayName="Table8" ref="L3:M9" totalsRowShown="0">
  <autoFilter ref="L3:M9" xr:uid="{DDB939D2-FA45-4C3C-9EC0-59C92A9212D0}"/>
  <tableColumns count="2">
    <tableColumn id="1" xr3:uid="{C1BA4EAB-9AED-46DD-88DE-2B86749EFC47}" name="Coin Name"/>
    <tableColumn id="2" xr3:uid="{6EC63391-413A-4413-BE84-638EE6DB223C}" name="Volume (24h) USD"/>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10.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ivotTable" Target="../pivotTables/pivotTable11.xml"/><Relationship Id="rId4" Type="http://schemas.microsoft.com/office/2007/relationships/slicer" Target="../slicers/slicer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ivotTable" Target="../pivotTables/pivotTable12.xml"/></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ivotTable" Target="../pivotTables/pivotTable13.xml"/><Relationship Id="rId5" Type="http://schemas.microsoft.com/office/2007/relationships/slicer" Target="../slicers/slicer5.xml"/><Relationship Id="rId4"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201"/>
  <sheetViews>
    <sheetView workbookViewId="0">
      <pane ySplit="1" topLeftCell="A178" activePane="bottomLeft" state="frozen"/>
      <selection pane="bottomLeft" activeCell="C1" sqref="C1:C201"/>
    </sheetView>
  </sheetViews>
  <sheetFormatPr defaultRowHeight="14.4" x14ac:dyDescent="0.3"/>
  <cols>
    <col min="1" max="1" width="31.109375" bestFit="1" customWidth="1"/>
    <col min="2" max="2" width="11.21875" bestFit="1" customWidth="1"/>
    <col min="3" max="3" width="12.33203125" customWidth="1"/>
    <col min="4" max="4" width="15" customWidth="1"/>
    <col min="5" max="5" width="16.88671875" bestFit="1" customWidth="1"/>
    <col min="6" max="6" width="18.33203125" customWidth="1"/>
    <col min="7" max="7" width="18" customWidth="1"/>
  </cols>
  <sheetData>
    <row r="1" spans="1:7" x14ac:dyDescent="0.3">
      <c r="A1" s="1" t="s">
        <v>0</v>
      </c>
      <c r="B1" s="1" t="s">
        <v>1</v>
      </c>
      <c r="C1" s="1" t="s">
        <v>2</v>
      </c>
      <c r="D1" s="1" t="s">
        <v>3</v>
      </c>
      <c r="E1" s="1" t="s">
        <v>4</v>
      </c>
      <c r="F1" s="1" t="s">
        <v>5</v>
      </c>
      <c r="G1" s="1" t="s">
        <v>6</v>
      </c>
    </row>
    <row r="2" spans="1:7" x14ac:dyDescent="0.3">
      <c r="A2" t="s">
        <v>7</v>
      </c>
      <c r="B2" t="s">
        <v>8</v>
      </c>
      <c r="C2" t="s">
        <v>9</v>
      </c>
      <c r="D2" t="s">
        <v>10</v>
      </c>
      <c r="E2" t="s">
        <v>11</v>
      </c>
      <c r="F2" t="s">
        <v>12</v>
      </c>
      <c r="G2" t="s">
        <v>13</v>
      </c>
    </row>
    <row r="3" spans="1:7" x14ac:dyDescent="0.3">
      <c r="A3" t="s">
        <v>14</v>
      </c>
      <c r="B3" t="s">
        <v>15</v>
      </c>
      <c r="C3" t="s">
        <v>16</v>
      </c>
      <c r="D3" t="s">
        <v>17</v>
      </c>
      <c r="E3" t="s">
        <v>18</v>
      </c>
      <c r="F3" t="s">
        <v>19</v>
      </c>
      <c r="G3" t="s">
        <v>20</v>
      </c>
    </row>
    <row r="4" spans="1:7" x14ac:dyDescent="0.3">
      <c r="A4" t="s">
        <v>21</v>
      </c>
      <c r="B4" t="s">
        <v>21</v>
      </c>
      <c r="C4" t="s">
        <v>22</v>
      </c>
      <c r="D4" t="s">
        <v>23</v>
      </c>
      <c r="E4" t="s">
        <v>24</v>
      </c>
      <c r="F4" t="s">
        <v>25</v>
      </c>
      <c r="G4" t="s">
        <v>26</v>
      </c>
    </row>
    <row r="5" spans="1:7" x14ac:dyDescent="0.3">
      <c r="A5" t="s">
        <v>27</v>
      </c>
      <c r="B5" t="s">
        <v>28</v>
      </c>
      <c r="C5" t="s">
        <v>29</v>
      </c>
      <c r="D5" t="s">
        <v>30</v>
      </c>
      <c r="E5" t="s">
        <v>31</v>
      </c>
      <c r="F5" t="s">
        <v>32</v>
      </c>
      <c r="G5" t="s">
        <v>33</v>
      </c>
    </row>
    <row r="6" spans="1:7" x14ac:dyDescent="0.3">
      <c r="A6" t="s">
        <v>34</v>
      </c>
      <c r="B6" t="s">
        <v>34</v>
      </c>
      <c r="C6" t="s">
        <v>35</v>
      </c>
      <c r="D6" t="s">
        <v>36</v>
      </c>
      <c r="E6" t="s">
        <v>37</v>
      </c>
      <c r="F6" t="s">
        <v>38</v>
      </c>
      <c r="G6" t="s">
        <v>39</v>
      </c>
    </row>
    <row r="7" spans="1:7" x14ac:dyDescent="0.3">
      <c r="A7" t="s">
        <v>40</v>
      </c>
      <c r="B7" t="s">
        <v>41</v>
      </c>
      <c r="C7" t="s">
        <v>42</v>
      </c>
      <c r="D7" t="s">
        <v>43</v>
      </c>
      <c r="E7" t="s">
        <v>44</v>
      </c>
      <c r="F7" t="s">
        <v>45</v>
      </c>
      <c r="G7" t="s">
        <v>46</v>
      </c>
    </row>
    <row r="8" spans="1:7" x14ac:dyDescent="0.3">
      <c r="A8" t="s">
        <v>47</v>
      </c>
      <c r="B8" t="s">
        <v>47</v>
      </c>
      <c r="C8" t="s">
        <v>48</v>
      </c>
      <c r="D8" t="s">
        <v>49</v>
      </c>
      <c r="E8" t="s">
        <v>50</v>
      </c>
      <c r="F8" t="s">
        <v>51</v>
      </c>
      <c r="G8" t="s">
        <v>52</v>
      </c>
    </row>
    <row r="9" spans="1:7" x14ac:dyDescent="0.3">
      <c r="A9" t="s">
        <v>53</v>
      </c>
      <c r="B9" t="s">
        <v>54</v>
      </c>
      <c r="C9" t="s">
        <v>55</v>
      </c>
      <c r="D9" t="s">
        <v>56</v>
      </c>
      <c r="E9" t="s">
        <v>57</v>
      </c>
      <c r="F9" t="s">
        <v>58</v>
      </c>
      <c r="G9" t="s">
        <v>59</v>
      </c>
    </row>
    <row r="10" spans="1:7" x14ac:dyDescent="0.3">
      <c r="A10" t="s">
        <v>60</v>
      </c>
      <c r="B10" t="s">
        <v>61</v>
      </c>
      <c r="C10" t="s">
        <v>62</v>
      </c>
      <c r="D10" t="s">
        <v>63</v>
      </c>
      <c r="E10" t="s">
        <v>64</v>
      </c>
      <c r="F10" t="s">
        <v>65</v>
      </c>
      <c r="G10" t="s">
        <v>66</v>
      </c>
    </row>
    <row r="11" spans="1:7" x14ac:dyDescent="0.3">
      <c r="A11" t="s">
        <v>67</v>
      </c>
      <c r="B11" t="s">
        <v>68</v>
      </c>
      <c r="C11" t="s">
        <v>69</v>
      </c>
      <c r="D11" t="s">
        <v>70</v>
      </c>
      <c r="E11" t="s">
        <v>71</v>
      </c>
      <c r="F11" t="s">
        <v>72</v>
      </c>
      <c r="G11" t="s">
        <v>73</v>
      </c>
    </row>
    <row r="12" spans="1:7" x14ac:dyDescent="0.3">
      <c r="A12" t="s">
        <v>74</v>
      </c>
      <c r="B12" t="s">
        <v>75</v>
      </c>
      <c r="C12" t="s">
        <v>76</v>
      </c>
      <c r="D12" t="s">
        <v>77</v>
      </c>
      <c r="E12" t="s">
        <v>78</v>
      </c>
      <c r="F12" t="s">
        <v>79</v>
      </c>
      <c r="G12" t="s">
        <v>80</v>
      </c>
    </row>
    <row r="13" spans="1:7" x14ac:dyDescent="0.3">
      <c r="A13" t="s">
        <v>81</v>
      </c>
      <c r="B13" t="s">
        <v>82</v>
      </c>
      <c r="C13" t="s">
        <v>83</v>
      </c>
      <c r="D13" t="s">
        <v>84</v>
      </c>
      <c r="E13" t="s">
        <v>85</v>
      </c>
      <c r="F13" t="s">
        <v>86</v>
      </c>
      <c r="G13" t="s">
        <v>87</v>
      </c>
    </row>
    <row r="14" spans="1:7" x14ac:dyDescent="0.3">
      <c r="A14" t="s">
        <v>88</v>
      </c>
      <c r="B14" t="s">
        <v>88</v>
      </c>
      <c r="C14" t="s">
        <v>89</v>
      </c>
      <c r="D14" t="s">
        <v>90</v>
      </c>
      <c r="E14" t="s">
        <v>91</v>
      </c>
      <c r="F14" t="s">
        <v>92</v>
      </c>
      <c r="G14" t="s">
        <v>93</v>
      </c>
    </row>
    <row r="15" spans="1:7" x14ac:dyDescent="0.3">
      <c r="A15" t="s">
        <v>94</v>
      </c>
      <c r="B15" t="s">
        <v>95</v>
      </c>
      <c r="C15" t="s">
        <v>96</v>
      </c>
      <c r="D15" t="s">
        <v>97</v>
      </c>
      <c r="E15" t="s">
        <v>98</v>
      </c>
      <c r="F15" t="s">
        <v>99</v>
      </c>
      <c r="G15" t="s">
        <v>100</v>
      </c>
    </row>
    <row r="16" spans="1:7" x14ac:dyDescent="0.3">
      <c r="A16" t="s">
        <v>101</v>
      </c>
      <c r="B16" t="s">
        <v>102</v>
      </c>
      <c r="C16" t="s">
        <v>103</v>
      </c>
      <c r="D16" t="s">
        <v>49</v>
      </c>
      <c r="E16" t="s">
        <v>104</v>
      </c>
      <c r="F16" t="s">
        <v>105</v>
      </c>
      <c r="G16" t="s">
        <v>106</v>
      </c>
    </row>
    <row r="17" spans="1:7" x14ac:dyDescent="0.3">
      <c r="A17" t="s">
        <v>107</v>
      </c>
      <c r="B17" t="s">
        <v>108</v>
      </c>
      <c r="C17" t="s">
        <v>109</v>
      </c>
      <c r="D17" t="s">
        <v>110</v>
      </c>
      <c r="E17" t="s">
        <v>111</v>
      </c>
      <c r="F17" t="s">
        <v>112</v>
      </c>
      <c r="G17" t="s">
        <v>113</v>
      </c>
    </row>
    <row r="18" spans="1:7" x14ac:dyDescent="0.3">
      <c r="A18" t="s">
        <v>114</v>
      </c>
      <c r="B18" t="s">
        <v>115</v>
      </c>
      <c r="C18" t="s">
        <v>116</v>
      </c>
      <c r="D18" t="s">
        <v>90</v>
      </c>
      <c r="E18" t="s">
        <v>117</v>
      </c>
      <c r="F18" t="s">
        <v>118</v>
      </c>
      <c r="G18" t="s">
        <v>119</v>
      </c>
    </row>
    <row r="19" spans="1:7" x14ac:dyDescent="0.3">
      <c r="A19" t="s">
        <v>120</v>
      </c>
      <c r="B19" t="s">
        <v>121</v>
      </c>
      <c r="C19" t="s">
        <v>122</v>
      </c>
      <c r="D19" t="s">
        <v>123</v>
      </c>
      <c r="E19" t="s">
        <v>124</v>
      </c>
      <c r="F19" t="s">
        <v>125</v>
      </c>
      <c r="G19" t="s">
        <v>126</v>
      </c>
    </row>
    <row r="20" spans="1:7" x14ac:dyDescent="0.3">
      <c r="A20" t="s">
        <v>127</v>
      </c>
      <c r="B20" t="s">
        <v>128</v>
      </c>
      <c r="C20" t="s">
        <v>129</v>
      </c>
      <c r="D20" t="s">
        <v>130</v>
      </c>
      <c r="E20" t="s">
        <v>131</v>
      </c>
      <c r="F20" t="s">
        <v>132</v>
      </c>
      <c r="G20" t="s">
        <v>133</v>
      </c>
    </row>
    <row r="21" spans="1:7" x14ac:dyDescent="0.3">
      <c r="A21" t="s">
        <v>134</v>
      </c>
      <c r="B21" t="s">
        <v>135</v>
      </c>
      <c r="C21" t="s">
        <v>136</v>
      </c>
      <c r="D21" t="s">
        <v>137</v>
      </c>
      <c r="E21" t="s">
        <v>138</v>
      </c>
      <c r="F21" t="s">
        <v>139</v>
      </c>
      <c r="G21" t="s">
        <v>140</v>
      </c>
    </row>
    <row r="22" spans="1:7" x14ac:dyDescent="0.3">
      <c r="A22" t="s">
        <v>141</v>
      </c>
      <c r="B22" t="s">
        <v>142</v>
      </c>
      <c r="C22" t="s">
        <v>143</v>
      </c>
      <c r="D22" t="s">
        <v>144</v>
      </c>
      <c r="E22" t="s">
        <v>145</v>
      </c>
      <c r="F22" t="s">
        <v>146</v>
      </c>
      <c r="G22" t="s">
        <v>147</v>
      </c>
    </row>
    <row r="23" spans="1:7" x14ac:dyDescent="0.3">
      <c r="A23" t="s">
        <v>148</v>
      </c>
      <c r="B23" t="s">
        <v>149</v>
      </c>
      <c r="C23" t="s">
        <v>150</v>
      </c>
      <c r="D23" t="s">
        <v>151</v>
      </c>
      <c r="E23" t="s">
        <v>152</v>
      </c>
      <c r="F23" t="s">
        <v>153</v>
      </c>
      <c r="G23" t="s">
        <v>154</v>
      </c>
    </row>
    <row r="24" spans="1:7" x14ac:dyDescent="0.3">
      <c r="A24" t="s">
        <v>155</v>
      </c>
      <c r="B24" t="s">
        <v>156</v>
      </c>
      <c r="C24" t="s">
        <v>29</v>
      </c>
      <c r="D24" t="s">
        <v>157</v>
      </c>
      <c r="E24" t="s">
        <v>158</v>
      </c>
      <c r="F24" t="s">
        <v>159</v>
      </c>
      <c r="G24" t="s">
        <v>160</v>
      </c>
    </row>
    <row r="25" spans="1:7" x14ac:dyDescent="0.3">
      <c r="A25" t="s">
        <v>161</v>
      </c>
      <c r="B25" t="s">
        <v>162</v>
      </c>
      <c r="C25" t="s">
        <v>163</v>
      </c>
      <c r="D25" t="s">
        <v>164</v>
      </c>
      <c r="E25" t="s">
        <v>165</v>
      </c>
      <c r="F25" t="s">
        <v>166</v>
      </c>
      <c r="G25" t="s">
        <v>167</v>
      </c>
    </row>
    <row r="26" spans="1:7" x14ac:dyDescent="0.3">
      <c r="A26" t="s">
        <v>168</v>
      </c>
      <c r="B26" t="s">
        <v>169</v>
      </c>
      <c r="C26" t="s">
        <v>170</v>
      </c>
      <c r="D26" t="s">
        <v>123</v>
      </c>
      <c r="E26" t="s">
        <v>171</v>
      </c>
      <c r="F26" t="s">
        <v>172</v>
      </c>
      <c r="G26" t="s">
        <v>173</v>
      </c>
    </row>
    <row r="27" spans="1:7" x14ac:dyDescent="0.3">
      <c r="A27" t="s">
        <v>174</v>
      </c>
      <c r="B27" t="s">
        <v>175</v>
      </c>
      <c r="C27" t="s">
        <v>176</v>
      </c>
      <c r="D27" t="s">
        <v>177</v>
      </c>
      <c r="E27" t="s">
        <v>178</v>
      </c>
      <c r="F27" t="s">
        <v>179</v>
      </c>
      <c r="G27" t="s">
        <v>180</v>
      </c>
    </row>
    <row r="28" spans="1:7" x14ac:dyDescent="0.3">
      <c r="A28" t="s">
        <v>181</v>
      </c>
      <c r="B28" t="s">
        <v>182</v>
      </c>
      <c r="C28" t="s">
        <v>183</v>
      </c>
      <c r="D28" t="s">
        <v>184</v>
      </c>
      <c r="E28" t="s">
        <v>185</v>
      </c>
      <c r="F28" t="s">
        <v>186</v>
      </c>
      <c r="G28" t="s">
        <v>187</v>
      </c>
    </row>
    <row r="29" spans="1:7" x14ac:dyDescent="0.3">
      <c r="A29" t="s">
        <v>188</v>
      </c>
      <c r="B29" t="s">
        <v>189</v>
      </c>
      <c r="C29" t="s">
        <v>190</v>
      </c>
      <c r="D29" t="s">
        <v>191</v>
      </c>
      <c r="E29" t="s">
        <v>192</v>
      </c>
      <c r="F29" t="s">
        <v>193</v>
      </c>
      <c r="G29" t="s">
        <v>194</v>
      </c>
    </row>
    <row r="30" spans="1:7" x14ac:dyDescent="0.3">
      <c r="A30" t="s">
        <v>195</v>
      </c>
      <c r="B30" t="s">
        <v>196</v>
      </c>
      <c r="C30" t="s">
        <v>197</v>
      </c>
      <c r="D30" t="s">
        <v>198</v>
      </c>
      <c r="E30" t="s">
        <v>199</v>
      </c>
      <c r="F30" t="s">
        <v>200</v>
      </c>
      <c r="G30" t="s">
        <v>201</v>
      </c>
    </row>
    <row r="31" spans="1:7" x14ac:dyDescent="0.3">
      <c r="A31" t="s">
        <v>202</v>
      </c>
      <c r="B31" t="s">
        <v>203</v>
      </c>
      <c r="C31" t="s">
        <v>204</v>
      </c>
      <c r="D31" t="s">
        <v>205</v>
      </c>
      <c r="E31" t="s">
        <v>206</v>
      </c>
      <c r="F31" t="s">
        <v>207</v>
      </c>
      <c r="G31" t="s">
        <v>208</v>
      </c>
    </row>
    <row r="32" spans="1:7" x14ac:dyDescent="0.3">
      <c r="A32" t="s">
        <v>209</v>
      </c>
      <c r="B32" t="s">
        <v>209</v>
      </c>
      <c r="C32" t="s">
        <v>210</v>
      </c>
      <c r="D32" t="s">
        <v>144</v>
      </c>
      <c r="E32" t="s">
        <v>211</v>
      </c>
      <c r="F32" t="s">
        <v>212</v>
      </c>
      <c r="G32" t="s">
        <v>213</v>
      </c>
    </row>
    <row r="33" spans="1:7" x14ac:dyDescent="0.3">
      <c r="A33" t="s">
        <v>214</v>
      </c>
      <c r="B33" t="s">
        <v>215</v>
      </c>
      <c r="C33" t="s">
        <v>76</v>
      </c>
      <c r="D33" t="s">
        <v>177</v>
      </c>
      <c r="E33" t="s">
        <v>216</v>
      </c>
      <c r="F33" t="s">
        <v>217</v>
      </c>
      <c r="G33" t="s">
        <v>218</v>
      </c>
    </row>
    <row r="34" spans="1:7" x14ac:dyDescent="0.3">
      <c r="A34" t="s">
        <v>219</v>
      </c>
      <c r="B34" t="s">
        <v>220</v>
      </c>
      <c r="C34" t="s">
        <v>221</v>
      </c>
      <c r="D34" t="s">
        <v>157</v>
      </c>
      <c r="E34" t="s">
        <v>222</v>
      </c>
      <c r="F34" t="s">
        <v>223</v>
      </c>
      <c r="G34" t="s">
        <v>224</v>
      </c>
    </row>
    <row r="35" spans="1:7" x14ac:dyDescent="0.3">
      <c r="A35" t="s">
        <v>225</v>
      </c>
      <c r="B35" t="s">
        <v>226</v>
      </c>
      <c r="C35" t="s">
        <v>227</v>
      </c>
      <c r="D35" t="s">
        <v>17</v>
      </c>
      <c r="E35" t="s">
        <v>228</v>
      </c>
      <c r="F35" t="s">
        <v>229</v>
      </c>
      <c r="G35" t="s">
        <v>230</v>
      </c>
    </row>
    <row r="36" spans="1:7" x14ac:dyDescent="0.3">
      <c r="A36" t="s">
        <v>231</v>
      </c>
      <c r="B36" t="s">
        <v>232</v>
      </c>
      <c r="C36" t="s">
        <v>233</v>
      </c>
      <c r="D36" t="s">
        <v>234</v>
      </c>
      <c r="E36" t="s">
        <v>235</v>
      </c>
      <c r="F36" t="s">
        <v>236</v>
      </c>
      <c r="G36" t="s">
        <v>237</v>
      </c>
    </row>
    <row r="37" spans="1:7" x14ac:dyDescent="0.3">
      <c r="A37" t="s">
        <v>238</v>
      </c>
      <c r="B37" t="s">
        <v>238</v>
      </c>
      <c r="C37" t="s">
        <v>48</v>
      </c>
      <c r="D37" t="s">
        <v>77</v>
      </c>
      <c r="E37" t="s">
        <v>239</v>
      </c>
      <c r="F37" t="s">
        <v>240</v>
      </c>
      <c r="G37" t="s">
        <v>241</v>
      </c>
    </row>
    <row r="38" spans="1:7" x14ac:dyDescent="0.3">
      <c r="A38" t="s">
        <v>242</v>
      </c>
      <c r="B38" t="s">
        <v>243</v>
      </c>
      <c r="C38" t="s">
        <v>244</v>
      </c>
      <c r="D38" t="s">
        <v>245</v>
      </c>
      <c r="E38" t="s">
        <v>246</v>
      </c>
      <c r="F38" t="s">
        <v>247</v>
      </c>
      <c r="G38" t="s">
        <v>248</v>
      </c>
    </row>
    <row r="39" spans="1:7" x14ac:dyDescent="0.3">
      <c r="A39" t="s">
        <v>249</v>
      </c>
      <c r="B39" t="s">
        <v>250</v>
      </c>
      <c r="C39" t="s">
        <v>251</v>
      </c>
      <c r="D39" t="s">
        <v>252</v>
      </c>
      <c r="E39" t="s">
        <v>253</v>
      </c>
      <c r="F39" t="s">
        <v>254</v>
      </c>
      <c r="G39" t="s">
        <v>255</v>
      </c>
    </row>
    <row r="40" spans="1:7" x14ac:dyDescent="0.3">
      <c r="A40" t="s">
        <v>256</v>
      </c>
      <c r="B40" t="s">
        <v>257</v>
      </c>
      <c r="C40" t="s">
        <v>258</v>
      </c>
      <c r="D40" t="s">
        <v>17</v>
      </c>
      <c r="E40" t="s">
        <v>259</v>
      </c>
      <c r="F40" t="s">
        <v>260</v>
      </c>
      <c r="G40" t="s">
        <v>261</v>
      </c>
    </row>
    <row r="41" spans="1:7" x14ac:dyDescent="0.3">
      <c r="A41" t="s">
        <v>262</v>
      </c>
      <c r="B41" t="s">
        <v>263</v>
      </c>
      <c r="C41" t="s">
        <v>264</v>
      </c>
      <c r="D41" t="s">
        <v>265</v>
      </c>
      <c r="E41" t="s">
        <v>266</v>
      </c>
      <c r="F41" t="s">
        <v>267</v>
      </c>
      <c r="G41" t="s">
        <v>268</v>
      </c>
    </row>
    <row r="42" spans="1:7" x14ac:dyDescent="0.3">
      <c r="A42" t="s">
        <v>269</v>
      </c>
      <c r="B42" t="s">
        <v>270</v>
      </c>
      <c r="C42" t="s">
        <v>271</v>
      </c>
      <c r="D42" t="s">
        <v>272</v>
      </c>
      <c r="E42" t="s">
        <v>273</v>
      </c>
      <c r="F42" t="s">
        <v>274</v>
      </c>
      <c r="G42" t="s">
        <v>275</v>
      </c>
    </row>
    <row r="43" spans="1:7" x14ac:dyDescent="0.3">
      <c r="A43" t="s">
        <v>276</v>
      </c>
      <c r="B43" t="s">
        <v>277</v>
      </c>
      <c r="C43" t="s">
        <v>278</v>
      </c>
      <c r="D43" t="s">
        <v>63</v>
      </c>
      <c r="E43" t="s">
        <v>279</v>
      </c>
      <c r="F43" t="s">
        <v>280</v>
      </c>
      <c r="G43" t="s">
        <v>281</v>
      </c>
    </row>
    <row r="44" spans="1:7" x14ac:dyDescent="0.3">
      <c r="A44" t="s">
        <v>282</v>
      </c>
      <c r="B44" t="s">
        <v>283</v>
      </c>
      <c r="C44" t="s">
        <v>284</v>
      </c>
      <c r="D44" t="s">
        <v>177</v>
      </c>
      <c r="E44" t="s">
        <v>285</v>
      </c>
      <c r="F44" t="s">
        <v>286</v>
      </c>
      <c r="G44" t="s">
        <v>287</v>
      </c>
    </row>
    <row r="45" spans="1:7" x14ac:dyDescent="0.3">
      <c r="A45" t="s">
        <v>288</v>
      </c>
      <c r="B45" t="s">
        <v>288</v>
      </c>
      <c r="C45" t="s">
        <v>289</v>
      </c>
      <c r="D45" t="s">
        <v>290</v>
      </c>
      <c r="E45" t="s">
        <v>291</v>
      </c>
      <c r="F45" t="s">
        <v>292</v>
      </c>
      <c r="G45" t="s">
        <v>293</v>
      </c>
    </row>
    <row r="46" spans="1:7" x14ac:dyDescent="0.3">
      <c r="A46" t="s">
        <v>294</v>
      </c>
      <c r="B46" t="s">
        <v>295</v>
      </c>
      <c r="C46" t="s">
        <v>296</v>
      </c>
      <c r="D46" t="s">
        <v>157</v>
      </c>
      <c r="E46" t="s">
        <v>297</v>
      </c>
      <c r="F46" t="s">
        <v>298</v>
      </c>
      <c r="G46" t="s">
        <v>299</v>
      </c>
    </row>
    <row r="47" spans="1:7" x14ac:dyDescent="0.3">
      <c r="A47" t="s">
        <v>300</v>
      </c>
      <c r="B47" t="s">
        <v>301</v>
      </c>
      <c r="C47" t="s">
        <v>302</v>
      </c>
      <c r="D47" t="s">
        <v>265</v>
      </c>
      <c r="E47" t="s">
        <v>303</v>
      </c>
      <c r="F47" t="s">
        <v>304</v>
      </c>
      <c r="G47" t="s">
        <v>305</v>
      </c>
    </row>
    <row r="48" spans="1:7" x14ac:dyDescent="0.3">
      <c r="A48" t="s">
        <v>306</v>
      </c>
      <c r="B48" t="s">
        <v>307</v>
      </c>
      <c r="C48" t="s">
        <v>308</v>
      </c>
      <c r="D48" t="s">
        <v>97</v>
      </c>
      <c r="E48" t="s">
        <v>309</v>
      </c>
      <c r="F48" t="s">
        <v>310</v>
      </c>
      <c r="G48" t="s">
        <v>311</v>
      </c>
    </row>
    <row r="49" spans="1:7" x14ac:dyDescent="0.3">
      <c r="A49" t="s">
        <v>312</v>
      </c>
      <c r="B49" t="s">
        <v>313</v>
      </c>
      <c r="C49" t="s">
        <v>314</v>
      </c>
      <c r="D49" t="s">
        <v>315</v>
      </c>
      <c r="E49" t="s">
        <v>316</v>
      </c>
      <c r="F49" t="s">
        <v>317</v>
      </c>
      <c r="G49" t="s">
        <v>318</v>
      </c>
    </row>
    <row r="50" spans="1:7" x14ac:dyDescent="0.3">
      <c r="A50" t="s">
        <v>319</v>
      </c>
      <c r="B50" t="s">
        <v>320</v>
      </c>
      <c r="C50" t="s">
        <v>321</v>
      </c>
      <c r="D50" t="s">
        <v>322</v>
      </c>
      <c r="E50" t="s">
        <v>323</v>
      </c>
      <c r="F50" t="s">
        <v>324</v>
      </c>
      <c r="G50" t="s">
        <v>325</v>
      </c>
    </row>
    <row r="51" spans="1:7" x14ac:dyDescent="0.3">
      <c r="A51" t="s">
        <v>326</v>
      </c>
      <c r="B51" t="s">
        <v>327</v>
      </c>
      <c r="C51" t="s">
        <v>328</v>
      </c>
      <c r="D51" t="s">
        <v>177</v>
      </c>
      <c r="E51" t="s">
        <v>329</v>
      </c>
      <c r="F51" t="s">
        <v>330</v>
      </c>
      <c r="G51" t="s">
        <v>331</v>
      </c>
    </row>
    <row r="52" spans="1:7" x14ac:dyDescent="0.3">
      <c r="A52" t="s">
        <v>332</v>
      </c>
      <c r="B52" t="s">
        <v>333</v>
      </c>
      <c r="C52" t="s">
        <v>334</v>
      </c>
      <c r="D52" t="s">
        <v>335</v>
      </c>
      <c r="E52" t="s">
        <v>336</v>
      </c>
      <c r="F52" t="s">
        <v>337</v>
      </c>
      <c r="G52" t="s">
        <v>338</v>
      </c>
    </row>
    <row r="53" spans="1:7" x14ac:dyDescent="0.3">
      <c r="A53" t="s">
        <v>339</v>
      </c>
      <c r="B53" t="s">
        <v>340</v>
      </c>
      <c r="C53" t="s">
        <v>341</v>
      </c>
      <c r="D53" t="s">
        <v>342</v>
      </c>
      <c r="E53" t="s">
        <v>343</v>
      </c>
      <c r="F53" t="s">
        <v>344</v>
      </c>
      <c r="G53" t="s">
        <v>345</v>
      </c>
    </row>
    <row r="54" spans="1:7" x14ac:dyDescent="0.3">
      <c r="A54" t="s">
        <v>346</v>
      </c>
      <c r="B54" t="s">
        <v>347</v>
      </c>
      <c r="C54" t="s">
        <v>348</v>
      </c>
      <c r="D54" t="s">
        <v>97</v>
      </c>
      <c r="E54" t="s">
        <v>349</v>
      </c>
      <c r="F54" t="s">
        <v>350</v>
      </c>
      <c r="G54" t="s">
        <v>351</v>
      </c>
    </row>
    <row r="55" spans="1:7" x14ac:dyDescent="0.3">
      <c r="A55" t="s">
        <v>352</v>
      </c>
      <c r="B55" t="s">
        <v>353</v>
      </c>
      <c r="C55" t="s">
        <v>354</v>
      </c>
      <c r="D55" t="s">
        <v>30</v>
      </c>
      <c r="E55" t="s">
        <v>355</v>
      </c>
      <c r="F55" t="s">
        <v>356</v>
      </c>
      <c r="G55" t="s">
        <v>357</v>
      </c>
    </row>
    <row r="56" spans="1:7" x14ac:dyDescent="0.3">
      <c r="A56" t="s">
        <v>358</v>
      </c>
      <c r="B56" t="s">
        <v>359</v>
      </c>
      <c r="C56" t="s">
        <v>360</v>
      </c>
      <c r="D56" t="s">
        <v>361</v>
      </c>
      <c r="E56" t="s">
        <v>362</v>
      </c>
      <c r="F56" t="s">
        <v>363</v>
      </c>
      <c r="G56" t="s">
        <v>364</v>
      </c>
    </row>
    <row r="57" spans="1:7" x14ac:dyDescent="0.3">
      <c r="A57" t="s">
        <v>365</v>
      </c>
      <c r="B57" t="s">
        <v>366</v>
      </c>
      <c r="C57" t="s">
        <v>367</v>
      </c>
      <c r="D57" t="s">
        <v>36</v>
      </c>
      <c r="E57" t="s">
        <v>368</v>
      </c>
      <c r="F57" t="s">
        <v>369</v>
      </c>
      <c r="G57" t="s">
        <v>370</v>
      </c>
    </row>
    <row r="58" spans="1:7" x14ac:dyDescent="0.3">
      <c r="A58" t="s">
        <v>371</v>
      </c>
      <c r="B58" t="s">
        <v>372</v>
      </c>
      <c r="C58" t="s">
        <v>373</v>
      </c>
      <c r="D58" t="s">
        <v>374</v>
      </c>
      <c r="E58" t="s">
        <v>375</v>
      </c>
      <c r="F58" t="s">
        <v>376</v>
      </c>
      <c r="G58" t="s">
        <v>377</v>
      </c>
    </row>
    <row r="59" spans="1:7" x14ac:dyDescent="0.3">
      <c r="A59" t="s">
        <v>378</v>
      </c>
      <c r="B59" t="s">
        <v>379</v>
      </c>
      <c r="C59" t="s">
        <v>380</v>
      </c>
      <c r="D59" t="s">
        <v>374</v>
      </c>
      <c r="E59" t="s">
        <v>381</v>
      </c>
      <c r="F59" t="s">
        <v>382</v>
      </c>
      <c r="G59" t="s">
        <v>383</v>
      </c>
    </row>
    <row r="60" spans="1:7" x14ac:dyDescent="0.3">
      <c r="A60" t="s">
        <v>384</v>
      </c>
      <c r="B60" t="s">
        <v>385</v>
      </c>
      <c r="C60" t="s">
        <v>386</v>
      </c>
      <c r="D60" t="s">
        <v>387</v>
      </c>
      <c r="E60" t="s">
        <v>388</v>
      </c>
      <c r="F60" t="s">
        <v>389</v>
      </c>
      <c r="G60" t="s">
        <v>390</v>
      </c>
    </row>
    <row r="61" spans="1:7" x14ac:dyDescent="0.3">
      <c r="A61" t="s">
        <v>391</v>
      </c>
      <c r="B61" t="s">
        <v>392</v>
      </c>
      <c r="C61" t="s">
        <v>393</v>
      </c>
      <c r="D61" t="s">
        <v>394</v>
      </c>
      <c r="E61" t="s">
        <v>395</v>
      </c>
      <c r="F61" t="s">
        <v>396</v>
      </c>
      <c r="G61" t="s">
        <v>397</v>
      </c>
    </row>
    <row r="62" spans="1:7" x14ac:dyDescent="0.3">
      <c r="A62" t="s">
        <v>398</v>
      </c>
      <c r="B62" t="s">
        <v>399</v>
      </c>
      <c r="C62" t="s">
        <v>400</v>
      </c>
      <c r="D62" t="s">
        <v>401</v>
      </c>
      <c r="E62" t="s">
        <v>402</v>
      </c>
      <c r="F62" t="s">
        <v>403</v>
      </c>
      <c r="G62" t="s">
        <v>404</v>
      </c>
    </row>
    <row r="63" spans="1:7" x14ac:dyDescent="0.3">
      <c r="A63" t="s">
        <v>1</v>
      </c>
      <c r="B63" t="s">
        <v>405</v>
      </c>
      <c r="C63" t="s">
        <v>406</v>
      </c>
      <c r="D63" t="s">
        <v>177</v>
      </c>
      <c r="E63" t="s">
        <v>407</v>
      </c>
      <c r="F63" t="s">
        <v>408</v>
      </c>
      <c r="G63" t="s">
        <v>409</v>
      </c>
    </row>
    <row r="64" spans="1:7" x14ac:dyDescent="0.3">
      <c r="A64" t="s">
        <v>410</v>
      </c>
      <c r="B64" t="s">
        <v>411</v>
      </c>
      <c r="C64" t="s">
        <v>412</v>
      </c>
      <c r="D64" t="s">
        <v>205</v>
      </c>
      <c r="E64" t="s">
        <v>413</v>
      </c>
      <c r="F64" t="s">
        <v>414</v>
      </c>
      <c r="G64" t="s">
        <v>415</v>
      </c>
    </row>
    <row r="65" spans="1:7" x14ac:dyDescent="0.3">
      <c r="A65" t="s">
        <v>416</v>
      </c>
      <c r="B65" t="s">
        <v>417</v>
      </c>
      <c r="C65" t="s">
        <v>418</v>
      </c>
      <c r="D65" t="s">
        <v>419</v>
      </c>
      <c r="E65" t="s">
        <v>420</v>
      </c>
      <c r="F65" t="s">
        <v>421</v>
      </c>
      <c r="G65" t="s">
        <v>422</v>
      </c>
    </row>
    <row r="66" spans="1:7" x14ac:dyDescent="0.3">
      <c r="A66" t="s">
        <v>423</v>
      </c>
      <c r="B66" t="s">
        <v>424</v>
      </c>
      <c r="C66" t="s">
        <v>425</v>
      </c>
      <c r="D66" t="s">
        <v>36</v>
      </c>
      <c r="E66" t="s">
        <v>426</v>
      </c>
      <c r="F66" t="s">
        <v>427</v>
      </c>
      <c r="G66" t="s">
        <v>428</v>
      </c>
    </row>
    <row r="67" spans="1:7" x14ac:dyDescent="0.3">
      <c r="A67" t="s">
        <v>429</v>
      </c>
      <c r="B67" t="s">
        <v>430</v>
      </c>
      <c r="C67" t="s">
        <v>431</v>
      </c>
      <c r="D67" t="s">
        <v>184</v>
      </c>
      <c r="E67" t="s">
        <v>432</v>
      </c>
      <c r="F67" t="s">
        <v>433</v>
      </c>
      <c r="G67" t="s">
        <v>434</v>
      </c>
    </row>
    <row r="68" spans="1:7" x14ac:dyDescent="0.3">
      <c r="A68" t="s">
        <v>435</v>
      </c>
      <c r="B68" t="s">
        <v>436</v>
      </c>
      <c r="C68" t="s">
        <v>437</v>
      </c>
      <c r="D68" t="s">
        <v>23</v>
      </c>
      <c r="E68" t="s">
        <v>438</v>
      </c>
      <c r="F68" t="s">
        <v>439</v>
      </c>
      <c r="G68" t="s">
        <v>440</v>
      </c>
    </row>
    <row r="69" spans="1:7" x14ac:dyDescent="0.3">
      <c r="A69" t="s">
        <v>441</v>
      </c>
      <c r="B69" t="s">
        <v>442</v>
      </c>
      <c r="C69" t="s">
        <v>443</v>
      </c>
      <c r="D69" t="s">
        <v>77</v>
      </c>
      <c r="E69" t="s">
        <v>444</v>
      </c>
      <c r="F69" t="s">
        <v>330</v>
      </c>
      <c r="G69" t="s">
        <v>445</v>
      </c>
    </row>
    <row r="70" spans="1:7" x14ac:dyDescent="0.3">
      <c r="A70" t="s">
        <v>446</v>
      </c>
      <c r="B70" t="s">
        <v>447</v>
      </c>
      <c r="C70" t="s">
        <v>448</v>
      </c>
      <c r="D70" t="s">
        <v>449</v>
      </c>
      <c r="E70" t="s">
        <v>450</v>
      </c>
      <c r="F70" t="s">
        <v>451</v>
      </c>
      <c r="G70" t="s">
        <v>452</v>
      </c>
    </row>
    <row r="71" spans="1:7" x14ac:dyDescent="0.3">
      <c r="A71" t="s">
        <v>453</v>
      </c>
      <c r="B71" t="s">
        <v>454</v>
      </c>
      <c r="C71" t="s">
        <v>455</v>
      </c>
      <c r="D71" t="s">
        <v>394</v>
      </c>
      <c r="E71" t="s">
        <v>456</v>
      </c>
      <c r="F71" t="s">
        <v>457</v>
      </c>
      <c r="G71" t="s">
        <v>458</v>
      </c>
    </row>
    <row r="72" spans="1:7" x14ac:dyDescent="0.3">
      <c r="A72" t="s">
        <v>459</v>
      </c>
      <c r="B72" t="s">
        <v>460</v>
      </c>
      <c r="C72" t="s">
        <v>461</v>
      </c>
      <c r="D72" t="s">
        <v>198</v>
      </c>
      <c r="E72" t="s">
        <v>462</v>
      </c>
      <c r="F72" t="s">
        <v>463</v>
      </c>
      <c r="G72" t="s">
        <v>464</v>
      </c>
    </row>
    <row r="73" spans="1:7" x14ac:dyDescent="0.3">
      <c r="A73" t="s">
        <v>219</v>
      </c>
      <c r="B73" t="s">
        <v>465</v>
      </c>
      <c r="C73" t="s">
        <v>466</v>
      </c>
      <c r="D73" t="s">
        <v>467</v>
      </c>
      <c r="E73" t="s">
        <v>468</v>
      </c>
      <c r="F73" t="s">
        <v>469</v>
      </c>
      <c r="G73" t="s">
        <v>470</v>
      </c>
    </row>
    <row r="74" spans="1:7" x14ac:dyDescent="0.3">
      <c r="A74" t="s">
        <v>471</v>
      </c>
      <c r="B74" t="s">
        <v>472</v>
      </c>
      <c r="C74" t="s">
        <v>473</v>
      </c>
      <c r="D74" t="s">
        <v>474</v>
      </c>
      <c r="E74" t="s">
        <v>475</v>
      </c>
      <c r="F74" t="s">
        <v>476</v>
      </c>
      <c r="G74" t="s">
        <v>477</v>
      </c>
    </row>
    <row r="75" spans="1:7" x14ac:dyDescent="0.3">
      <c r="A75" t="s">
        <v>478</v>
      </c>
      <c r="B75" t="s">
        <v>479</v>
      </c>
      <c r="C75" t="s">
        <v>480</v>
      </c>
      <c r="D75" t="s">
        <v>481</v>
      </c>
      <c r="E75" t="s">
        <v>482</v>
      </c>
      <c r="F75" t="s">
        <v>483</v>
      </c>
      <c r="G75" t="s">
        <v>484</v>
      </c>
    </row>
    <row r="76" spans="1:7" x14ac:dyDescent="0.3">
      <c r="A76" t="s">
        <v>485</v>
      </c>
      <c r="B76" t="s">
        <v>485</v>
      </c>
      <c r="C76" t="s">
        <v>486</v>
      </c>
      <c r="D76" t="s">
        <v>487</v>
      </c>
      <c r="E76" t="s">
        <v>488</v>
      </c>
      <c r="F76" t="s">
        <v>489</v>
      </c>
      <c r="G76" t="s">
        <v>490</v>
      </c>
    </row>
    <row r="77" spans="1:7" x14ac:dyDescent="0.3">
      <c r="A77" t="s">
        <v>491</v>
      </c>
      <c r="B77" t="s">
        <v>492</v>
      </c>
      <c r="C77" t="s">
        <v>493</v>
      </c>
      <c r="D77" t="s">
        <v>494</v>
      </c>
      <c r="E77" t="s">
        <v>495</v>
      </c>
      <c r="F77" t="s">
        <v>496</v>
      </c>
      <c r="G77" t="s">
        <v>497</v>
      </c>
    </row>
    <row r="78" spans="1:7" x14ac:dyDescent="0.3">
      <c r="A78" t="s">
        <v>498</v>
      </c>
      <c r="B78" t="s">
        <v>499</v>
      </c>
      <c r="C78" t="s">
        <v>500</v>
      </c>
      <c r="D78" t="s">
        <v>387</v>
      </c>
      <c r="E78" t="s">
        <v>501</v>
      </c>
      <c r="F78" t="s">
        <v>502</v>
      </c>
      <c r="G78" t="s">
        <v>503</v>
      </c>
    </row>
    <row r="79" spans="1:7" x14ac:dyDescent="0.3">
      <c r="A79" t="s">
        <v>504</v>
      </c>
      <c r="B79" t="s">
        <v>505</v>
      </c>
      <c r="C79" t="s">
        <v>506</v>
      </c>
      <c r="D79" t="s">
        <v>157</v>
      </c>
      <c r="E79" t="s">
        <v>507</v>
      </c>
      <c r="F79" t="s">
        <v>508</v>
      </c>
      <c r="G79" t="s">
        <v>509</v>
      </c>
    </row>
    <row r="80" spans="1:7" x14ac:dyDescent="0.3">
      <c r="A80" t="s">
        <v>510</v>
      </c>
      <c r="B80" t="s">
        <v>510</v>
      </c>
      <c r="C80" t="s">
        <v>511</v>
      </c>
      <c r="D80" t="s">
        <v>265</v>
      </c>
      <c r="E80" t="s">
        <v>512</v>
      </c>
      <c r="F80" t="s">
        <v>513</v>
      </c>
      <c r="G80" t="s">
        <v>514</v>
      </c>
    </row>
    <row r="81" spans="1:7" x14ac:dyDescent="0.3">
      <c r="A81" t="s">
        <v>515</v>
      </c>
      <c r="B81" t="s">
        <v>516</v>
      </c>
      <c r="C81" t="s">
        <v>517</v>
      </c>
      <c r="D81" t="s">
        <v>518</v>
      </c>
      <c r="E81" t="s">
        <v>519</v>
      </c>
      <c r="F81" t="s">
        <v>520</v>
      </c>
      <c r="G81" t="s">
        <v>521</v>
      </c>
    </row>
    <row r="82" spans="1:7" x14ac:dyDescent="0.3">
      <c r="A82" t="s">
        <v>522</v>
      </c>
      <c r="B82" t="s">
        <v>522</v>
      </c>
      <c r="C82" t="s">
        <v>523</v>
      </c>
      <c r="D82" t="s">
        <v>524</v>
      </c>
      <c r="E82" t="s">
        <v>525</v>
      </c>
      <c r="F82" t="s">
        <v>526</v>
      </c>
      <c r="G82" t="s">
        <v>527</v>
      </c>
    </row>
    <row r="83" spans="1:7" x14ac:dyDescent="0.3">
      <c r="A83" t="s">
        <v>528</v>
      </c>
      <c r="B83" t="s">
        <v>529</v>
      </c>
      <c r="C83" t="s">
        <v>530</v>
      </c>
      <c r="D83" t="s">
        <v>531</v>
      </c>
      <c r="E83" t="s">
        <v>532</v>
      </c>
      <c r="F83" t="s">
        <v>533</v>
      </c>
      <c r="G83" t="s">
        <v>534</v>
      </c>
    </row>
    <row r="84" spans="1:7" x14ac:dyDescent="0.3">
      <c r="A84" t="s">
        <v>535</v>
      </c>
      <c r="B84" t="s">
        <v>536</v>
      </c>
      <c r="C84" t="s">
        <v>537</v>
      </c>
      <c r="D84" t="s">
        <v>56</v>
      </c>
      <c r="E84" t="s">
        <v>538</v>
      </c>
      <c r="F84" t="s">
        <v>539</v>
      </c>
      <c r="G84" t="s">
        <v>540</v>
      </c>
    </row>
    <row r="85" spans="1:7" x14ac:dyDescent="0.3">
      <c r="A85" t="s">
        <v>541</v>
      </c>
      <c r="B85" t="s">
        <v>542</v>
      </c>
      <c r="C85" t="s">
        <v>543</v>
      </c>
      <c r="D85" t="s">
        <v>544</v>
      </c>
      <c r="E85" t="s">
        <v>545</v>
      </c>
      <c r="F85" t="s">
        <v>546</v>
      </c>
      <c r="G85" t="s">
        <v>547</v>
      </c>
    </row>
    <row r="86" spans="1:7" x14ac:dyDescent="0.3">
      <c r="A86" t="s">
        <v>548</v>
      </c>
      <c r="B86" t="s">
        <v>548</v>
      </c>
      <c r="C86" t="s">
        <v>549</v>
      </c>
      <c r="D86" t="s">
        <v>245</v>
      </c>
      <c r="E86" t="s">
        <v>550</v>
      </c>
      <c r="F86" t="s">
        <v>551</v>
      </c>
      <c r="G86" t="s">
        <v>552</v>
      </c>
    </row>
    <row r="87" spans="1:7" x14ac:dyDescent="0.3">
      <c r="A87" t="s">
        <v>553</v>
      </c>
      <c r="B87" t="s">
        <v>554</v>
      </c>
      <c r="C87" t="s">
        <v>555</v>
      </c>
      <c r="D87" t="s">
        <v>556</v>
      </c>
      <c r="E87" t="s">
        <v>557</v>
      </c>
      <c r="F87" t="s">
        <v>558</v>
      </c>
      <c r="G87" t="s">
        <v>126</v>
      </c>
    </row>
    <row r="88" spans="1:7" x14ac:dyDescent="0.3">
      <c r="A88" t="s">
        <v>559</v>
      </c>
      <c r="B88" t="s">
        <v>560</v>
      </c>
      <c r="C88" t="s">
        <v>561</v>
      </c>
      <c r="D88" t="s">
        <v>177</v>
      </c>
      <c r="E88" t="s">
        <v>562</v>
      </c>
      <c r="F88" t="s">
        <v>563</v>
      </c>
      <c r="G88" t="s">
        <v>564</v>
      </c>
    </row>
    <row r="89" spans="1:7" x14ac:dyDescent="0.3">
      <c r="A89" t="s">
        <v>565</v>
      </c>
      <c r="B89" t="s">
        <v>566</v>
      </c>
      <c r="C89" t="s">
        <v>567</v>
      </c>
      <c r="D89" t="s">
        <v>568</v>
      </c>
      <c r="E89" t="s">
        <v>569</v>
      </c>
      <c r="F89" t="s">
        <v>570</v>
      </c>
      <c r="G89" t="s">
        <v>571</v>
      </c>
    </row>
    <row r="90" spans="1:7" x14ac:dyDescent="0.3">
      <c r="A90" t="s">
        <v>572</v>
      </c>
      <c r="B90" t="s">
        <v>573</v>
      </c>
      <c r="C90" t="s">
        <v>574</v>
      </c>
      <c r="D90" t="s">
        <v>49</v>
      </c>
      <c r="E90" t="s">
        <v>575</v>
      </c>
      <c r="F90" t="s">
        <v>576</v>
      </c>
      <c r="G90" t="s">
        <v>577</v>
      </c>
    </row>
    <row r="91" spans="1:7" x14ac:dyDescent="0.3">
      <c r="A91" t="s">
        <v>578</v>
      </c>
      <c r="B91" t="s">
        <v>579</v>
      </c>
      <c r="C91" t="s">
        <v>580</v>
      </c>
      <c r="D91" t="s">
        <v>290</v>
      </c>
      <c r="E91" t="s">
        <v>581</v>
      </c>
      <c r="F91" t="s">
        <v>582</v>
      </c>
      <c r="G91" t="s">
        <v>583</v>
      </c>
    </row>
    <row r="92" spans="1:7" x14ac:dyDescent="0.3">
      <c r="A92" t="s">
        <v>584</v>
      </c>
      <c r="B92" t="s">
        <v>584</v>
      </c>
      <c r="C92" t="s">
        <v>585</v>
      </c>
      <c r="D92" t="s">
        <v>198</v>
      </c>
      <c r="E92" t="s">
        <v>586</v>
      </c>
      <c r="F92" t="s">
        <v>587</v>
      </c>
      <c r="G92" t="s">
        <v>588</v>
      </c>
    </row>
    <row r="93" spans="1:7" x14ac:dyDescent="0.3">
      <c r="A93" t="s">
        <v>589</v>
      </c>
      <c r="B93" t="s">
        <v>590</v>
      </c>
      <c r="C93" t="s">
        <v>591</v>
      </c>
      <c r="D93" t="s">
        <v>177</v>
      </c>
      <c r="E93" t="s">
        <v>592</v>
      </c>
      <c r="F93" t="s">
        <v>593</v>
      </c>
      <c r="G93" t="s">
        <v>594</v>
      </c>
    </row>
    <row r="94" spans="1:7" x14ac:dyDescent="0.3">
      <c r="A94" t="s">
        <v>595</v>
      </c>
      <c r="B94" t="s">
        <v>596</v>
      </c>
      <c r="C94" t="s">
        <v>597</v>
      </c>
      <c r="D94" t="s">
        <v>198</v>
      </c>
      <c r="E94" t="s">
        <v>598</v>
      </c>
      <c r="F94" t="s">
        <v>599</v>
      </c>
      <c r="G94" t="s">
        <v>600</v>
      </c>
    </row>
    <row r="95" spans="1:7" x14ac:dyDescent="0.3">
      <c r="A95" t="s">
        <v>601</v>
      </c>
      <c r="B95" t="s">
        <v>602</v>
      </c>
      <c r="C95" t="s">
        <v>603</v>
      </c>
      <c r="D95" t="s">
        <v>97</v>
      </c>
      <c r="E95" t="s">
        <v>604</v>
      </c>
      <c r="F95" t="s">
        <v>605</v>
      </c>
      <c r="G95" t="s">
        <v>606</v>
      </c>
    </row>
    <row r="96" spans="1:7" x14ac:dyDescent="0.3">
      <c r="A96" t="s">
        <v>607</v>
      </c>
      <c r="B96" t="s">
        <v>608</v>
      </c>
      <c r="C96" t="s">
        <v>609</v>
      </c>
      <c r="D96" t="s">
        <v>610</v>
      </c>
      <c r="E96" t="s">
        <v>611</v>
      </c>
      <c r="F96" t="s">
        <v>612</v>
      </c>
      <c r="G96" t="s">
        <v>613</v>
      </c>
    </row>
    <row r="97" spans="1:7" x14ac:dyDescent="0.3">
      <c r="A97" t="s">
        <v>614</v>
      </c>
      <c r="B97" t="s">
        <v>615</v>
      </c>
      <c r="C97" t="s">
        <v>616</v>
      </c>
      <c r="D97" t="s">
        <v>177</v>
      </c>
      <c r="E97" t="s">
        <v>617</v>
      </c>
      <c r="F97" t="s">
        <v>618</v>
      </c>
      <c r="G97" t="s">
        <v>619</v>
      </c>
    </row>
    <row r="98" spans="1:7" x14ac:dyDescent="0.3">
      <c r="A98" t="s">
        <v>620</v>
      </c>
      <c r="B98" t="s">
        <v>621</v>
      </c>
      <c r="C98" t="s">
        <v>622</v>
      </c>
      <c r="D98" t="s">
        <v>144</v>
      </c>
      <c r="E98" t="s">
        <v>623</v>
      </c>
      <c r="F98" t="s">
        <v>624</v>
      </c>
      <c r="G98" t="s">
        <v>625</v>
      </c>
    </row>
    <row r="99" spans="1:7" x14ac:dyDescent="0.3">
      <c r="A99" t="s">
        <v>626</v>
      </c>
      <c r="B99" t="s">
        <v>627</v>
      </c>
      <c r="C99" t="s">
        <v>628</v>
      </c>
      <c r="D99" t="s">
        <v>30</v>
      </c>
      <c r="E99" t="s">
        <v>629</v>
      </c>
      <c r="F99" t="s">
        <v>630</v>
      </c>
      <c r="G99" t="s">
        <v>631</v>
      </c>
    </row>
    <row r="100" spans="1:7" x14ac:dyDescent="0.3">
      <c r="A100" t="s">
        <v>632</v>
      </c>
      <c r="B100" t="s">
        <v>633</v>
      </c>
      <c r="C100" t="s">
        <v>634</v>
      </c>
      <c r="D100" t="s">
        <v>335</v>
      </c>
      <c r="E100" t="s">
        <v>635</v>
      </c>
      <c r="F100" t="s">
        <v>636</v>
      </c>
      <c r="G100" t="s">
        <v>637</v>
      </c>
    </row>
    <row r="101" spans="1:7" x14ac:dyDescent="0.3">
      <c r="A101" t="s">
        <v>638</v>
      </c>
      <c r="B101" t="s">
        <v>639</v>
      </c>
      <c r="C101" t="s">
        <v>640</v>
      </c>
      <c r="D101" t="s">
        <v>245</v>
      </c>
      <c r="E101" t="s">
        <v>641</v>
      </c>
      <c r="F101" t="s">
        <v>642</v>
      </c>
      <c r="G101" t="s">
        <v>643</v>
      </c>
    </row>
    <row r="102" spans="1:7" x14ac:dyDescent="0.3">
      <c r="A102" t="s">
        <v>644</v>
      </c>
      <c r="B102" t="s">
        <v>645</v>
      </c>
      <c r="C102" t="s">
        <v>646</v>
      </c>
      <c r="D102" t="s">
        <v>647</v>
      </c>
      <c r="E102" t="s">
        <v>648</v>
      </c>
      <c r="F102" t="s">
        <v>649</v>
      </c>
      <c r="G102" t="s">
        <v>650</v>
      </c>
    </row>
    <row r="103" spans="1:7" x14ac:dyDescent="0.3">
      <c r="A103" t="s">
        <v>651</v>
      </c>
      <c r="B103" t="s">
        <v>651</v>
      </c>
      <c r="C103" t="s">
        <v>652</v>
      </c>
      <c r="D103" t="s">
        <v>653</v>
      </c>
      <c r="E103" t="s">
        <v>654</v>
      </c>
      <c r="F103" t="s">
        <v>655</v>
      </c>
      <c r="G103" t="s">
        <v>656</v>
      </c>
    </row>
    <row r="104" spans="1:7" x14ac:dyDescent="0.3">
      <c r="A104" t="s">
        <v>657</v>
      </c>
      <c r="B104" t="s">
        <v>658</v>
      </c>
      <c r="C104" t="s">
        <v>659</v>
      </c>
      <c r="D104" t="s">
        <v>123</v>
      </c>
      <c r="E104" t="s">
        <v>660</v>
      </c>
      <c r="F104" t="s">
        <v>661</v>
      </c>
      <c r="G104" t="s">
        <v>662</v>
      </c>
    </row>
    <row r="105" spans="1:7" x14ac:dyDescent="0.3">
      <c r="A105" t="s">
        <v>663</v>
      </c>
      <c r="B105" t="s">
        <v>664</v>
      </c>
      <c r="C105" t="s">
        <v>665</v>
      </c>
      <c r="D105" t="s">
        <v>97</v>
      </c>
      <c r="E105" t="s">
        <v>666</v>
      </c>
      <c r="F105" t="s">
        <v>667</v>
      </c>
      <c r="G105" t="s">
        <v>668</v>
      </c>
    </row>
    <row r="106" spans="1:7" x14ac:dyDescent="0.3">
      <c r="A106" t="s">
        <v>669</v>
      </c>
      <c r="B106" t="s">
        <v>670</v>
      </c>
      <c r="C106" t="s">
        <v>671</v>
      </c>
      <c r="D106" t="s">
        <v>177</v>
      </c>
      <c r="E106" t="s">
        <v>672</v>
      </c>
      <c r="F106" t="s">
        <v>673</v>
      </c>
      <c r="G106" t="s">
        <v>674</v>
      </c>
    </row>
    <row r="107" spans="1:7" x14ac:dyDescent="0.3">
      <c r="A107" t="s">
        <v>675</v>
      </c>
      <c r="B107" t="s">
        <v>676</v>
      </c>
      <c r="C107" t="s">
        <v>677</v>
      </c>
      <c r="D107" t="s">
        <v>77</v>
      </c>
      <c r="E107" t="s">
        <v>678</v>
      </c>
      <c r="F107" t="s">
        <v>679</v>
      </c>
      <c r="G107" t="s">
        <v>680</v>
      </c>
    </row>
    <row r="108" spans="1:7" x14ac:dyDescent="0.3">
      <c r="A108" t="s">
        <v>681</v>
      </c>
      <c r="B108" t="s">
        <v>682</v>
      </c>
      <c r="C108" t="s">
        <v>683</v>
      </c>
      <c r="D108" t="s">
        <v>684</v>
      </c>
      <c r="E108" t="s">
        <v>685</v>
      </c>
      <c r="F108" t="s">
        <v>686</v>
      </c>
      <c r="G108" t="s">
        <v>687</v>
      </c>
    </row>
    <row r="109" spans="1:7" x14ac:dyDescent="0.3">
      <c r="A109" t="s">
        <v>688</v>
      </c>
      <c r="B109" t="s">
        <v>689</v>
      </c>
      <c r="C109" t="s">
        <v>690</v>
      </c>
      <c r="D109" t="s">
        <v>387</v>
      </c>
      <c r="E109" t="s">
        <v>691</v>
      </c>
      <c r="F109" t="s">
        <v>692</v>
      </c>
      <c r="G109" t="s">
        <v>318</v>
      </c>
    </row>
    <row r="110" spans="1:7" x14ac:dyDescent="0.3">
      <c r="A110" t="s">
        <v>693</v>
      </c>
      <c r="B110" t="s">
        <v>694</v>
      </c>
      <c r="C110" t="s">
        <v>695</v>
      </c>
      <c r="D110" t="s">
        <v>696</v>
      </c>
      <c r="E110" t="s">
        <v>697</v>
      </c>
      <c r="F110" t="s">
        <v>698</v>
      </c>
      <c r="G110" t="s">
        <v>699</v>
      </c>
    </row>
    <row r="111" spans="1:7" x14ac:dyDescent="0.3">
      <c r="A111" t="s">
        <v>700</v>
      </c>
      <c r="B111" t="s">
        <v>701</v>
      </c>
      <c r="C111" t="s">
        <v>702</v>
      </c>
      <c r="D111" t="s">
        <v>474</v>
      </c>
      <c r="E111" t="s">
        <v>703</v>
      </c>
      <c r="F111" t="s">
        <v>704</v>
      </c>
      <c r="G111" t="s">
        <v>705</v>
      </c>
    </row>
    <row r="112" spans="1:7" x14ac:dyDescent="0.3">
      <c r="A112" t="s">
        <v>706</v>
      </c>
      <c r="B112" t="s">
        <v>707</v>
      </c>
      <c r="C112" t="s">
        <v>708</v>
      </c>
      <c r="D112" t="s">
        <v>709</v>
      </c>
      <c r="E112" t="s">
        <v>710</v>
      </c>
      <c r="F112" t="s">
        <v>711</v>
      </c>
      <c r="G112" t="s">
        <v>712</v>
      </c>
    </row>
    <row r="113" spans="1:7" x14ac:dyDescent="0.3">
      <c r="A113" t="s">
        <v>713</v>
      </c>
      <c r="B113" t="s">
        <v>714</v>
      </c>
      <c r="C113" t="s">
        <v>715</v>
      </c>
      <c r="D113" t="s">
        <v>716</v>
      </c>
      <c r="E113" t="s">
        <v>717</v>
      </c>
      <c r="F113" t="s">
        <v>718</v>
      </c>
      <c r="G113" t="s">
        <v>719</v>
      </c>
    </row>
    <row r="114" spans="1:7" x14ac:dyDescent="0.3">
      <c r="A114" t="s">
        <v>720</v>
      </c>
      <c r="B114" t="s">
        <v>721</v>
      </c>
      <c r="C114" t="s">
        <v>722</v>
      </c>
      <c r="D114" t="s">
        <v>252</v>
      </c>
      <c r="E114" t="s">
        <v>723</v>
      </c>
      <c r="F114" t="s">
        <v>724</v>
      </c>
      <c r="G114" t="s">
        <v>725</v>
      </c>
    </row>
    <row r="115" spans="1:7" x14ac:dyDescent="0.3">
      <c r="A115" t="s">
        <v>726</v>
      </c>
      <c r="B115" t="s">
        <v>727</v>
      </c>
      <c r="C115" t="s">
        <v>728</v>
      </c>
      <c r="D115" t="s">
        <v>653</v>
      </c>
      <c r="E115" t="s">
        <v>729</v>
      </c>
      <c r="F115" t="s">
        <v>730</v>
      </c>
      <c r="G115" t="s">
        <v>731</v>
      </c>
    </row>
    <row r="116" spans="1:7" x14ac:dyDescent="0.3">
      <c r="A116" t="s">
        <v>732</v>
      </c>
      <c r="B116" t="s">
        <v>733</v>
      </c>
      <c r="C116" t="s">
        <v>734</v>
      </c>
      <c r="D116" t="s">
        <v>735</v>
      </c>
      <c r="E116" t="s">
        <v>736</v>
      </c>
      <c r="F116" t="s">
        <v>737</v>
      </c>
      <c r="G116" t="s">
        <v>738</v>
      </c>
    </row>
    <row r="117" spans="1:7" x14ac:dyDescent="0.3">
      <c r="A117" t="s">
        <v>739</v>
      </c>
      <c r="B117" t="s">
        <v>739</v>
      </c>
      <c r="C117" t="s">
        <v>740</v>
      </c>
      <c r="D117" t="s">
        <v>741</v>
      </c>
      <c r="E117" t="s">
        <v>742</v>
      </c>
      <c r="F117" t="s">
        <v>743</v>
      </c>
      <c r="G117" t="s">
        <v>744</v>
      </c>
    </row>
    <row r="118" spans="1:7" x14ac:dyDescent="0.3">
      <c r="A118" t="s">
        <v>745</v>
      </c>
      <c r="B118" t="s">
        <v>746</v>
      </c>
      <c r="C118" t="s">
        <v>747</v>
      </c>
      <c r="D118" t="s">
        <v>748</v>
      </c>
      <c r="E118" t="s">
        <v>749</v>
      </c>
      <c r="F118" t="s">
        <v>750</v>
      </c>
      <c r="G118" t="s">
        <v>751</v>
      </c>
    </row>
    <row r="119" spans="1:7" x14ac:dyDescent="0.3">
      <c r="A119" t="s">
        <v>752</v>
      </c>
      <c r="B119" t="s">
        <v>753</v>
      </c>
      <c r="C119" t="s">
        <v>754</v>
      </c>
      <c r="D119" t="s">
        <v>755</v>
      </c>
      <c r="E119" t="s">
        <v>756</v>
      </c>
      <c r="F119" t="s">
        <v>757</v>
      </c>
      <c r="G119" t="s">
        <v>758</v>
      </c>
    </row>
    <row r="120" spans="1:7" x14ac:dyDescent="0.3">
      <c r="A120" t="s">
        <v>759</v>
      </c>
      <c r="B120" t="s">
        <v>760</v>
      </c>
      <c r="C120" t="s">
        <v>761</v>
      </c>
      <c r="D120" t="s">
        <v>322</v>
      </c>
      <c r="E120" t="s">
        <v>762</v>
      </c>
      <c r="F120" t="s">
        <v>763</v>
      </c>
      <c r="G120" t="s">
        <v>764</v>
      </c>
    </row>
    <row r="121" spans="1:7" x14ac:dyDescent="0.3">
      <c r="A121" t="s">
        <v>765</v>
      </c>
      <c r="B121" t="s">
        <v>766</v>
      </c>
      <c r="C121" t="s">
        <v>767</v>
      </c>
      <c r="D121" t="s">
        <v>568</v>
      </c>
      <c r="E121" t="s">
        <v>768</v>
      </c>
      <c r="F121" t="s">
        <v>769</v>
      </c>
      <c r="G121" t="s">
        <v>770</v>
      </c>
    </row>
    <row r="122" spans="1:7" x14ac:dyDescent="0.3">
      <c r="A122" t="s">
        <v>771</v>
      </c>
      <c r="B122" t="s">
        <v>772</v>
      </c>
      <c r="C122" t="s">
        <v>773</v>
      </c>
      <c r="D122" t="s">
        <v>252</v>
      </c>
      <c r="E122" t="s">
        <v>774</v>
      </c>
      <c r="F122" t="s">
        <v>775</v>
      </c>
      <c r="G122" t="s">
        <v>776</v>
      </c>
    </row>
    <row r="123" spans="1:7" x14ac:dyDescent="0.3">
      <c r="A123" t="s">
        <v>777</v>
      </c>
      <c r="B123" t="s">
        <v>778</v>
      </c>
      <c r="C123" t="s">
        <v>779</v>
      </c>
      <c r="D123" t="s">
        <v>342</v>
      </c>
      <c r="E123" t="s">
        <v>780</v>
      </c>
      <c r="F123" t="s">
        <v>781</v>
      </c>
      <c r="G123" t="s">
        <v>782</v>
      </c>
    </row>
    <row r="124" spans="1:7" x14ac:dyDescent="0.3">
      <c r="A124" t="s">
        <v>783</v>
      </c>
      <c r="B124" t="s">
        <v>784</v>
      </c>
      <c r="C124" t="s">
        <v>785</v>
      </c>
      <c r="D124" t="s">
        <v>544</v>
      </c>
      <c r="E124" t="s">
        <v>786</v>
      </c>
      <c r="F124" t="s">
        <v>787</v>
      </c>
      <c r="G124" t="s">
        <v>788</v>
      </c>
    </row>
    <row r="125" spans="1:7" x14ac:dyDescent="0.3">
      <c r="A125" t="s">
        <v>789</v>
      </c>
      <c r="B125" t="s">
        <v>790</v>
      </c>
      <c r="C125" t="s">
        <v>791</v>
      </c>
      <c r="D125" t="s">
        <v>792</v>
      </c>
      <c r="E125" t="s">
        <v>793</v>
      </c>
      <c r="F125" t="s">
        <v>794</v>
      </c>
      <c r="G125" t="s">
        <v>795</v>
      </c>
    </row>
    <row r="126" spans="1:7" x14ac:dyDescent="0.3">
      <c r="A126" t="s">
        <v>796</v>
      </c>
      <c r="B126" t="s">
        <v>797</v>
      </c>
      <c r="C126" t="s">
        <v>798</v>
      </c>
      <c r="D126" t="s">
        <v>387</v>
      </c>
      <c r="E126" t="s">
        <v>799</v>
      </c>
      <c r="F126" t="s">
        <v>800</v>
      </c>
      <c r="G126" t="s">
        <v>801</v>
      </c>
    </row>
    <row r="127" spans="1:7" x14ac:dyDescent="0.3">
      <c r="A127" t="s">
        <v>802</v>
      </c>
      <c r="B127" t="s">
        <v>803</v>
      </c>
      <c r="C127" t="s">
        <v>804</v>
      </c>
      <c r="D127" t="s">
        <v>36</v>
      </c>
      <c r="E127" t="s">
        <v>805</v>
      </c>
      <c r="F127" t="s">
        <v>806</v>
      </c>
      <c r="G127" t="s">
        <v>807</v>
      </c>
    </row>
    <row r="128" spans="1:7" x14ac:dyDescent="0.3">
      <c r="A128" t="s">
        <v>808</v>
      </c>
      <c r="B128" t="s">
        <v>809</v>
      </c>
      <c r="C128" t="s">
        <v>810</v>
      </c>
      <c r="D128" t="s">
        <v>811</v>
      </c>
      <c r="E128" t="s">
        <v>812</v>
      </c>
      <c r="F128" t="s">
        <v>813</v>
      </c>
      <c r="G128" t="s">
        <v>814</v>
      </c>
    </row>
    <row r="129" spans="1:7" x14ac:dyDescent="0.3">
      <c r="A129" t="s">
        <v>815</v>
      </c>
      <c r="B129" t="s">
        <v>816</v>
      </c>
      <c r="C129" t="s">
        <v>817</v>
      </c>
      <c r="D129" t="s">
        <v>684</v>
      </c>
      <c r="E129" t="s">
        <v>818</v>
      </c>
      <c r="F129" t="s">
        <v>819</v>
      </c>
      <c r="G129" t="s">
        <v>820</v>
      </c>
    </row>
    <row r="130" spans="1:7" x14ac:dyDescent="0.3">
      <c r="A130" t="s">
        <v>821</v>
      </c>
      <c r="B130" t="s">
        <v>822</v>
      </c>
      <c r="C130" t="s">
        <v>823</v>
      </c>
      <c r="D130" t="s">
        <v>17</v>
      </c>
      <c r="E130" t="s">
        <v>824</v>
      </c>
      <c r="F130" t="s">
        <v>825</v>
      </c>
      <c r="G130" t="s">
        <v>826</v>
      </c>
    </row>
    <row r="131" spans="1:7" x14ac:dyDescent="0.3">
      <c r="A131" t="s">
        <v>827</v>
      </c>
      <c r="B131" t="s">
        <v>828</v>
      </c>
      <c r="C131" t="s">
        <v>829</v>
      </c>
      <c r="D131" t="s">
        <v>17</v>
      </c>
      <c r="E131" t="s">
        <v>830</v>
      </c>
      <c r="F131" t="s">
        <v>831</v>
      </c>
      <c r="G131" t="s">
        <v>832</v>
      </c>
    </row>
    <row r="132" spans="1:7" x14ac:dyDescent="0.3">
      <c r="A132" t="s">
        <v>833</v>
      </c>
      <c r="B132" t="s">
        <v>833</v>
      </c>
      <c r="C132" t="s">
        <v>834</v>
      </c>
      <c r="D132" t="s">
        <v>177</v>
      </c>
      <c r="E132" t="s">
        <v>835</v>
      </c>
      <c r="F132" t="s">
        <v>330</v>
      </c>
      <c r="G132" t="s">
        <v>836</v>
      </c>
    </row>
    <row r="133" spans="1:7" x14ac:dyDescent="0.3">
      <c r="A133" t="s">
        <v>837</v>
      </c>
      <c r="B133" t="s">
        <v>838</v>
      </c>
      <c r="C133" t="s">
        <v>839</v>
      </c>
      <c r="D133" t="s">
        <v>157</v>
      </c>
      <c r="E133" t="s">
        <v>840</v>
      </c>
      <c r="F133" t="s">
        <v>330</v>
      </c>
      <c r="G133" t="s">
        <v>841</v>
      </c>
    </row>
    <row r="134" spans="1:7" x14ac:dyDescent="0.3">
      <c r="A134" t="s">
        <v>842</v>
      </c>
      <c r="B134" t="s">
        <v>843</v>
      </c>
      <c r="C134" t="s">
        <v>844</v>
      </c>
      <c r="D134" t="s">
        <v>110</v>
      </c>
      <c r="E134" t="s">
        <v>845</v>
      </c>
      <c r="F134" t="s">
        <v>846</v>
      </c>
      <c r="G134" t="s">
        <v>847</v>
      </c>
    </row>
    <row r="135" spans="1:7" x14ac:dyDescent="0.3">
      <c r="A135" t="s">
        <v>848</v>
      </c>
      <c r="B135" t="s">
        <v>849</v>
      </c>
      <c r="C135" t="s">
        <v>850</v>
      </c>
      <c r="D135" t="s">
        <v>157</v>
      </c>
      <c r="E135" t="s">
        <v>851</v>
      </c>
      <c r="F135" t="s">
        <v>852</v>
      </c>
      <c r="G135" t="s">
        <v>853</v>
      </c>
    </row>
    <row r="136" spans="1:7" x14ac:dyDescent="0.3">
      <c r="A136" t="s">
        <v>854</v>
      </c>
      <c r="B136" t="s">
        <v>855</v>
      </c>
      <c r="C136" t="s">
        <v>856</v>
      </c>
      <c r="D136" t="s">
        <v>177</v>
      </c>
      <c r="E136" t="s">
        <v>857</v>
      </c>
      <c r="F136" t="s">
        <v>330</v>
      </c>
      <c r="G136" t="s">
        <v>858</v>
      </c>
    </row>
    <row r="137" spans="1:7" x14ac:dyDescent="0.3">
      <c r="A137" t="s">
        <v>859</v>
      </c>
      <c r="B137" t="s">
        <v>860</v>
      </c>
      <c r="C137" t="s">
        <v>861</v>
      </c>
      <c r="D137" t="s">
        <v>862</v>
      </c>
      <c r="E137" t="s">
        <v>863</v>
      </c>
      <c r="F137" t="s">
        <v>864</v>
      </c>
      <c r="G137" t="s">
        <v>865</v>
      </c>
    </row>
    <row r="138" spans="1:7" x14ac:dyDescent="0.3">
      <c r="A138" t="s">
        <v>866</v>
      </c>
      <c r="B138" t="s">
        <v>867</v>
      </c>
      <c r="C138" t="s">
        <v>868</v>
      </c>
      <c r="D138" t="s">
        <v>49</v>
      </c>
      <c r="E138" t="s">
        <v>869</v>
      </c>
      <c r="F138" t="s">
        <v>870</v>
      </c>
      <c r="G138" t="s">
        <v>871</v>
      </c>
    </row>
    <row r="139" spans="1:7" x14ac:dyDescent="0.3">
      <c r="A139" t="s">
        <v>872</v>
      </c>
      <c r="B139" t="s">
        <v>873</v>
      </c>
      <c r="C139" t="s">
        <v>874</v>
      </c>
      <c r="D139" t="s">
        <v>322</v>
      </c>
      <c r="E139" t="s">
        <v>875</v>
      </c>
      <c r="F139" t="s">
        <v>876</v>
      </c>
      <c r="G139" t="s">
        <v>877</v>
      </c>
    </row>
    <row r="140" spans="1:7" x14ac:dyDescent="0.3">
      <c r="A140" t="s">
        <v>878</v>
      </c>
      <c r="B140" t="s">
        <v>878</v>
      </c>
      <c r="C140" t="s">
        <v>879</v>
      </c>
      <c r="D140" t="s">
        <v>880</v>
      </c>
      <c r="E140" t="s">
        <v>881</v>
      </c>
      <c r="F140" t="s">
        <v>882</v>
      </c>
      <c r="G140" t="s">
        <v>883</v>
      </c>
    </row>
    <row r="141" spans="1:7" x14ac:dyDescent="0.3">
      <c r="A141" t="s">
        <v>884</v>
      </c>
      <c r="B141" t="s">
        <v>885</v>
      </c>
      <c r="C141" t="s">
        <v>886</v>
      </c>
      <c r="D141" t="s">
        <v>474</v>
      </c>
      <c r="E141" t="s">
        <v>887</v>
      </c>
      <c r="F141" t="s">
        <v>888</v>
      </c>
      <c r="G141" t="s">
        <v>889</v>
      </c>
    </row>
    <row r="142" spans="1:7" x14ac:dyDescent="0.3">
      <c r="A142" t="s">
        <v>890</v>
      </c>
      <c r="B142" t="s">
        <v>891</v>
      </c>
      <c r="C142" t="s">
        <v>892</v>
      </c>
      <c r="D142" t="s">
        <v>531</v>
      </c>
      <c r="E142" t="s">
        <v>893</v>
      </c>
      <c r="F142" t="s">
        <v>894</v>
      </c>
      <c r="G142" t="s">
        <v>895</v>
      </c>
    </row>
    <row r="143" spans="1:7" x14ac:dyDescent="0.3">
      <c r="A143" t="s">
        <v>896</v>
      </c>
      <c r="B143" t="s">
        <v>897</v>
      </c>
      <c r="C143" t="s">
        <v>898</v>
      </c>
      <c r="D143" t="s">
        <v>123</v>
      </c>
      <c r="E143" t="s">
        <v>899</v>
      </c>
      <c r="F143" t="s">
        <v>900</v>
      </c>
      <c r="G143" t="s">
        <v>901</v>
      </c>
    </row>
    <row r="144" spans="1:7" x14ac:dyDescent="0.3">
      <c r="A144" t="s">
        <v>902</v>
      </c>
      <c r="B144" t="s">
        <v>903</v>
      </c>
      <c r="C144" t="s">
        <v>904</v>
      </c>
      <c r="D144" t="s">
        <v>123</v>
      </c>
      <c r="E144" t="s">
        <v>905</v>
      </c>
      <c r="F144" t="s">
        <v>906</v>
      </c>
      <c r="G144" t="s">
        <v>907</v>
      </c>
    </row>
    <row r="145" spans="1:7" x14ac:dyDescent="0.3">
      <c r="A145" t="s">
        <v>908</v>
      </c>
      <c r="B145" t="s">
        <v>909</v>
      </c>
      <c r="C145" t="s">
        <v>910</v>
      </c>
      <c r="D145" t="s">
        <v>911</v>
      </c>
      <c r="E145" t="s">
        <v>912</v>
      </c>
      <c r="F145" t="s">
        <v>913</v>
      </c>
      <c r="G145" t="s">
        <v>914</v>
      </c>
    </row>
    <row r="146" spans="1:7" x14ac:dyDescent="0.3">
      <c r="A146" t="s">
        <v>915</v>
      </c>
      <c r="B146" t="s">
        <v>916</v>
      </c>
      <c r="C146" t="s">
        <v>917</v>
      </c>
      <c r="D146" t="s">
        <v>342</v>
      </c>
      <c r="E146" t="s">
        <v>918</v>
      </c>
      <c r="F146" t="s">
        <v>919</v>
      </c>
      <c r="G146" t="s">
        <v>920</v>
      </c>
    </row>
    <row r="147" spans="1:7" x14ac:dyDescent="0.3">
      <c r="A147" t="s">
        <v>921</v>
      </c>
      <c r="B147" t="s">
        <v>921</v>
      </c>
      <c r="C147" t="s">
        <v>922</v>
      </c>
      <c r="D147" t="s">
        <v>70</v>
      </c>
      <c r="E147" t="s">
        <v>923</v>
      </c>
      <c r="F147" t="s">
        <v>924</v>
      </c>
      <c r="G147" t="s">
        <v>925</v>
      </c>
    </row>
    <row r="148" spans="1:7" x14ac:dyDescent="0.3">
      <c r="A148" t="s">
        <v>926</v>
      </c>
      <c r="B148" t="s">
        <v>927</v>
      </c>
      <c r="C148" t="s">
        <v>928</v>
      </c>
      <c r="D148" t="s">
        <v>419</v>
      </c>
      <c r="E148" t="s">
        <v>929</v>
      </c>
      <c r="F148" t="s">
        <v>930</v>
      </c>
      <c r="G148" t="s">
        <v>931</v>
      </c>
    </row>
    <row r="149" spans="1:7" x14ac:dyDescent="0.3">
      <c r="A149" t="s">
        <v>932</v>
      </c>
      <c r="B149" t="s">
        <v>933</v>
      </c>
      <c r="C149" t="s">
        <v>934</v>
      </c>
      <c r="D149" t="s">
        <v>419</v>
      </c>
      <c r="E149" t="s">
        <v>935</v>
      </c>
      <c r="F149" t="s">
        <v>936</v>
      </c>
      <c r="G149" t="s">
        <v>937</v>
      </c>
    </row>
    <row r="150" spans="1:7" x14ac:dyDescent="0.3">
      <c r="A150" t="s">
        <v>938</v>
      </c>
      <c r="B150" t="s">
        <v>939</v>
      </c>
      <c r="C150" t="s">
        <v>940</v>
      </c>
      <c r="D150" t="s">
        <v>941</v>
      </c>
      <c r="E150" t="s">
        <v>942</v>
      </c>
      <c r="F150" t="s">
        <v>943</v>
      </c>
      <c r="G150" t="s">
        <v>944</v>
      </c>
    </row>
    <row r="151" spans="1:7" x14ac:dyDescent="0.3">
      <c r="A151" t="s">
        <v>945</v>
      </c>
      <c r="B151" t="s">
        <v>946</v>
      </c>
      <c r="C151" t="s">
        <v>947</v>
      </c>
      <c r="D151" t="s">
        <v>198</v>
      </c>
      <c r="E151" t="s">
        <v>948</v>
      </c>
      <c r="F151" t="s">
        <v>949</v>
      </c>
      <c r="G151" t="s">
        <v>950</v>
      </c>
    </row>
    <row r="152" spans="1:7" x14ac:dyDescent="0.3">
      <c r="A152" t="s">
        <v>951</v>
      </c>
      <c r="B152" t="s">
        <v>952</v>
      </c>
      <c r="C152" t="s">
        <v>953</v>
      </c>
      <c r="D152" t="s">
        <v>954</v>
      </c>
      <c r="E152" t="s">
        <v>955</v>
      </c>
      <c r="F152" t="s">
        <v>956</v>
      </c>
      <c r="G152" t="s">
        <v>957</v>
      </c>
    </row>
    <row r="153" spans="1:7" x14ac:dyDescent="0.3">
      <c r="A153" t="s">
        <v>958</v>
      </c>
      <c r="B153" t="s">
        <v>959</v>
      </c>
      <c r="C153" t="s">
        <v>960</v>
      </c>
      <c r="D153" t="s">
        <v>177</v>
      </c>
      <c r="E153" t="s">
        <v>961</v>
      </c>
      <c r="F153" t="s">
        <v>330</v>
      </c>
      <c r="G153" t="s">
        <v>962</v>
      </c>
    </row>
    <row r="154" spans="1:7" x14ac:dyDescent="0.3">
      <c r="A154" t="s">
        <v>963</v>
      </c>
      <c r="B154" t="s">
        <v>964</v>
      </c>
      <c r="C154" t="s">
        <v>965</v>
      </c>
      <c r="D154" t="s">
        <v>177</v>
      </c>
      <c r="E154" t="s">
        <v>966</v>
      </c>
      <c r="F154" t="s">
        <v>330</v>
      </c>
      <c r="G154" t="s">
        <v>967</v>
      </c>
    </row>
    <row r="155" spans="1:7" x14ac:dyDescent="0.3">
      <c r="A155" t="s">
        <v>968</v>
      </c>
      <c r="B155" t="s">
        <v>969</v>
      </c>
      <c r="C155" t="s">
        <v>970</v>
      </c>
      <c r="D155" t="s">
        <v>971</v>
      </c>
      <c r="E155" t="s">
        <v>972</v>
      </c>
      <c r="F155" t="s">
        <v>973</v>
      </c>
      <c r="G155" t="s">
        <v>974</v>
      </c>
    </row>
    <row r="156" spans="1:7" x14ac:dyDescent="0.3">
      <c r="A156" t="s">
        <v>975</v>
      </c>
      <c r="B156" t="s">
        <v>976</v>
      </c>
      <c r="C156" t="s">
        <v>977</v>
      </c>
      <c r="D156" t="s">
        <v>63</v>
      </c>
      <c r="E156" t="s">
        <v>978</v>
      </c>
      <c r="F156" t="s">
        <v>979</v>
      </c>
      <c r="G156" t="s">
        <v>980</v>
      </c>
    </row>
    <row r="157" spans="1:7" x14ac:dyDescent="0.3">
      <c r="A157" t="s">
        <v>981</v>
      </c>
      <c r="B157" t="s">
        <v>982</v>
      </c>
      <c r="C157" t="s">
        <v>983</v>
      </c>
      <c r="D157" t="s">
        <v>164</v>
      </c>
      <c r="E157" t="s">
        <v>984</v>
      </c>
      <c r="F157" t="s">
        <v>985</v>
      </c>
      <c r="G157" t="s">
        <v>986</v>
      </c>
    </row>
    <row r="158" spans="1:7" x14ac:dyDescent="0.3">
      <c r="A158" t="s">
        <v>987</v>
      </c>
      <c r="B158" t="s">
        <v>987</v>
      </c>
      <c r="C158" t="s">
        <v>988</v>
      </c>
      <c r="D158" t="s">
        <v>77</v>
      </c>
      <c r="E158" t="s">
        <v>989</v>
      </c>
      <c r="F158" t="s">
        <v>330</v>
      </c>
      <c r="G158" t="s">
        <v>990</v>
      </c>
    </row>
    <row r="159" spans="1:7" x14ac:dyDescent="0.3">
      <c r="A159" t="s">
        <v>991</v>
      </c>
      <c r="B159" t="s">
        <v>992</v>
      </c>
      <c r="C159" t="s">
        <v>993</v>
      </c>
      <c r="D159" t="s">
        <v>994</v>
      </c>
      <c r="E159" t="s">
        <v>995</v>
      </c>
      <c r="F159" t="s">
        <v>996</v>
      </c>
      <c r="G159" t="s">
        <v>997</v>
      </c>
    </row>
    <row r="160" spans="1:7" x14ac:dyDescent="0.3">
      <c r="A160" t="s">
        <v>998</v>
      </c>
      <c r="B160" t="s">
        <v>999</v>
      </c>
      <c r="C160" t="s">
        <v>1000</v>
      </c>
      <c r="D160" t="s">
        <v>198</v>
      </c>
      <c r="E160" t="s">
        <v>1001</v>
      </c>
      <c r="F160" t="s">
        <v>1002</v>
      </c>
      <c r="G160" t="s">
        <v>1003</v>
      </c>
    </row>
    <row r="161" spans="1:7" x14ac:dyDescent="0.3">
      <c r="A161" t="s">
        <v>1004</v>
      </c>
      <c r="B161" t="s">
        <v>1005</v>
      </c>
      <c r="C161" t="s">
        <v>1006</v>
      </c>
      <c r="D161" t="s">
        <v>1007</v>
      </c>
      <c r="E161" t="s">
        <v>1008</v>
      </c>
      <c r="F161" t="s">
        <v>1009</v>
      </c>
      <c r="G161" t="s">
        <v>1010</v>
      </c>
    </row>
    <row r="162" spans="1:7" x14ac:dyDescent="0.3">
      <c r="A162" t="s">
        <v>1011</v>
      </c>
      <c r="B162" t="s">
        <v>1012</v>
      </c>
      <c r="C162" t="s">
        <v>1013</v>
      </c>
      <c r="D162" t="s">
        <v>177</v>
      </c>
      <c r="E162" t="s">
        <v>1014</v>
      </c>
      <c r="F162" t="s">
        <v>330</v>
      </c>
      <c r="G162" t="s">
        <v>1003</v>
      </c>
    </row>
    <row r="163" spans="1:7" x14ac:dyDescent="0.3">
      <c r="A163" t="s">
        <v>1015</v>
      </c>
      <c r="B163" t="s">
        <v>1016</v>
      </c>
      <c r="C163" t="s">
        <v>1017</v>
      </c>
      <c r="D163" t="s">
        <v>1018</v>
      </c>
      <c r="E163" t="s">
        <v>1019</v>
      </c>
      <c r="F163" t="s">
        <v>1020</v>
      </c>
      <c r="G163" t="s">
        <v>1021</v>
      </c>
    </row>
    <row r="164" spans="1:7" x14ac:dyDescent="0.3">
      <c r="A164" t="s">
        <v>1022</v>
      </c>
      <c r="B164" t="s">
        <v>1023</v>
      </c>
      <c r="C164" t="s">
        <v>1024</v>
      </c>
      <c r="D164" t="s">
        <v>1025</v>
      </c>
      <c r="E164" t="s">
        <v>1026</v>
      </c>
      <c r="F164" t="s">
        <v>1027</v>
      </c>
      <c r="G164" t="s">
        <v>1028</v>
      </c>
    </row>
    <row r="165" spans="1:7" x14ac:dyDescent="0.3">
      <c r="A165" t="s">
        <v>1029</v>
      </c>
      <c r="B165" t="s">
        <v>1029</v>
      </c>
      <c r="C165" t="s">
        <v>1030</v>
      </c>
      <c r="D165" t="s">
        <v>1031</v>
      </c>
      <c r="E165" t="s">
        <v>1032</v>
      </c>
      <c r="F165" t="s">
        <v>1033</v>
      </c>
      <c r="G165" t="s">
        <v>1034</v>
      </c>
    </row>
    <row r="166" spans="1:7" x14ac:dyDescent="0.3">
      <c r="A166" t="s">
        <v>1035</v>
      </c>
      <c r="B166" t="s">
        <v>1036</v>
      </c>
      <c r="C166" t="s">
        <v>1037</v>
      </c>
      <c r="D166" t="s">
        <v>205</v>
      </c>
      <c r="E166" t="s">
        <v>1038</v>
      </c>
      <c r="F166" t="s">
        <v>1039</v>
      </c>
      <c r="G166" t="s">
        <v>1040</v>
      </c>
    </row>
    <row r="167" spans="1:7" x14ac:dyDescent="0.3">
      <c r="A167" t="s">
        <v>1041</v>
      </c>
      <c r="B167" t="s">
        <v>1042</v>
      </c>
      <c r="C167" t="s">
        <v>1043</v>
      </c>
      <c r="D167" t="s">
        <v>1044</v>
      </c>
      <c r="E167" t="s">
        <v>1045</v>
      </c>
      <c r="F167" t="s">
        <v>1046</v>
      </c>
      <c r="G167" t="s">
        <v>1047</v>
      </c>
    </row>
    <row r="168" spans="1:7" x14ac:dyDescent="0.3">
      <c r="A168" t="s">
        <v>1048</v>
      </c>
      <c r="B168" t="s">
        <v>1049</v>
      </c>
      <c r="C168" t="s">
        <v>1050</v>
      </c>
      <c r="D168" t="s">
        <v>198</v>
      </c>
      <c r="E168" t="s">
        <v>1051</v>
      </c>
      <c r="F168" t="s">
        <v>1052</v>
      </c>
      <c r="G168" t="s">
        <v>1053</v>
      </c>
    </row>
    <row r="169" spans="1:7" x14ac:dyDescent="0.3">
      <c r="A169" t="s">
        <v>1054</v>
      </c>
      <c r="B169" t="s">
        <v>1055</v>
      </c>
      <c r="C169" t="s">
        <v>1056</v>
      </c>
      <c r="D169" t="s">
        <v>1057</v>
      </c>
      <c r="E169" t="s">
        <v>1058</v>
      </c>
      <c r="F169" t="s">
        <v>1059</v>
      </c>
      <c r="G169" t="s">
        <v>1060</v>
      </c>
    </row>
    <row r="170" spans="1:7" x14ac:dyDescent="0.3">
      <c r="A170" t="s">
        <v>1061</v>
      </c>
      <c r="B170" t="s">
        <v>1062</v>
      </c>
      <c r="C170" t="s">
        <v>1063</v>
      </c>
      <c r="D170" t="s">
        <v>177</v>
      </c>
      <c r="E170" t="s">
        <v>1064</v>
      </c>
      <c r="F170" t="s">
        <v>1065</v>
      </c>
      <c r="G170" t="s">
        <v>1066</v>
      </c>
    </row>
    <row r="171" spans="1:7" x14ac:dyDescent="0.3">
      <c r="A171" t="s">
        <v>1067</v>
      </c>
      <c r="B171" t="s">
        <v>1068</v>
      </c>
      <c r="C171" t="s">
        <v>1069</v>
      </c>
      <c r="D171" t="s">
        <v>1070</v>
      </c>
      <c r="E171" t="s">
        <v>1071</v>
      </c>
      <c r="F171" t="s">
        <v>1072</v>
      </c>
      <c r="G171" t="s">
        <v>1073</v>
      </c>
    </row>
    <row r="172" spans="1:7" x14ac:dyDescent="0.3">
      <c r="A172" t="s">
        <v>1074</v>
      </c>
      <c r="B172" t="s">
        <v>1075</v>
      </c>
      <c r="C172" t="s">
        <v>1076</v>
      </c>
      <c r="D172" t="s">
        <v>1077</v>
      </c>
      <c r="E172" t="s">
        <v>1078</v>
      </c>
      <c r="F172" t="s">
        <v>1079</v>
      </c>
      <c r="G172" t="s">
        <v>1080</v>
      </c>
    </row>
    <row r="173" spans="1:7" x14ac:dyDescent="0.3">
      <c r="A173" t="s">
        <v>1081</v>
      </c>
      <c r="B173" t="s">
        <v>1082</v>
      </c>
      <c r="C173" t="s">
        <v>1083</v>
      </c>
      <c r="D173" t="s">
        <v>70</v>
      </c>
      <c r="E173" t="s">
        <v>1084</v>
      </c>
      <c r="F173" t="s">
        <v>1085</v>
      </c>
      <c r="G173" t="s">
        <v>1086</v>
      </c>
    </row>
    <row r="174" spans="1:7" x14ac:dyDescent="0.3">
      <c r="A174" t="s">
        <v>1087</v>
      </c>
      <c r="B174" t="s">
        <v>1088</v>
      </c>
      <c r="C174" t="s">
        <v>1089</v>
      </c>
      <c r="D174" t="s">
        <v>177</v>
      </c>
      <c r="E174" t="s">
        <v>1090</v>
      </c>
      <c r="F174" t="s">
        <v>330</v>
      </c>
      <c r="G174" t="s">
        <v>318</v>
      </c>
    </row>
    <row r="175" spans="1:7" x14ac:dyDescent="0.3">
      <c r="A175" t="s">
        <v>1091</v>
      </c>
      <c r="B175" t="s">
        <v>1092</v>
      </c>
      <c r="C175" t="s">
        <v>1093</v>
      </c>
      <c r="D175" t="s">
        <v>684</v>
      </c>
      <c r="E175" t="s">
        <v>1094</v>
      </c>
      <c r="F175" t="s">
        <v>1095</v>
      </c>
      <c r="G175" t="s">
        <v>1096</v>
      </c>
    </row>
    <row r="176" spans="1:7" x14ac:dyDescent="0.3">
      <c r="A176" t="s">
        <v>1097</v>
      </c>
      <c r="B176" t="s">
        <v>1098</v>
      </c>
      <c r="C176" t="s">
        <v>1099</v>
      </c>
      <c r="D176" t="s">
        <v>1100</v>
      </c>
      <c r="E176" t="s">
        <v>1101</v>
      </c>
      <c r="F176" t="s">
        <v>1102</v>
      </c>
      <c r="G176" t="s">
        <v>1103</v>
      </c>
    </row>
    <row r="177" spans="1:7" x14ac:dyDescent="0.3">
      <c r="A177" t="s">
        <v>1104</v>
      </c>
      <c r="B177" t="s">
        <v>1105</v>
      </c>
      <c r="C177" t="s">
        <v>1106</v>
      </c>
      <c r="D177" t="s">
        <v>518</v>
      </c>
      <c r="E177" t="s">
        <v>1107</v>
      </c>
      <c r="F177" t="s">
        <v>1108</v>
      </c>
      <c r="G177" t="s">
        <v>1109</v>
      </c>
    </row>
    <row r="178" spans="1:7" x14ac:dyDescent="0.3">
      <c r="A178" t="s">
        <v>1110</v>
      </c>
      <c r="B178" t="s">
        <v>1111</v>
      </c>
      <c r="C178" t="s">
        <v>1112</v>
      </c>
      <c r="D178" t="s">
        <v>130</v>
      </c>
      <c r="E178" t="s">
        <v>1113</v>
      </c>
      <c r="F178" t="s">
        <v>1114</v>
      </c>
      <c r="G178" t="s">
        <v>1115</v>
      </c>
    </row>
    <row r="179" spans="1:7" x14ac:dyDescent="0.3">
      <c r="A179" t="s">
        <v>1116</v>
      </c>
      <c r="B179" t="s">
        <v>1117</v>
      </c>
      <c r="C179" t="s">
        <v>1118</v>
      </c>
      <c r="D179" t="s">
        <v>1119</v>
      </c>
      <c r="E179" t="s">
        <v>1120</v>
      </c>
      <c r="F179" t="s">
        <v>1121</v>
      </c>
      <c r="G179" t="s">
        <v>1122</v>
      </c>
    </row>
    <row r="180" spans="1:7" x14ac:dyDescent="0.3">
      <c r="A180" t="s">
        <v>1123</v>
      </c>
      <c r="B180" t="s">
        <v>1124</v>
      </c>
      <c r="C180" t="s">
        <v>1125</v>
      </c>
      <c r="D180" t="s">
        <v>342</v>
      </c>
      <c r="E180" t="s">
        <v>1126</v>
      </c>
      <c r="F180" t="s">
        <v>1127</v>
      </c>
      <c r="G180" t="s">
        <v>1128</v>
      </c>
    </row>
    <row r="181" spans="1:7" x14ac:dyDescent="0.3">
      <c r="A181" t="s">
        <v>1129</v>
      </c>
      <c r="B181" t="s">
        <v>1130</v>
      </c>
      <c r="C181" t="s">
        <v>1131</v>
      </c>
      <c r="D181" t="s">
        <v>1132</v>
      </c>
      <c r="E181" t="s">
        <v>1133</v>
      </c>
      <c r="F181" t="s">
        <v>1134</v>
      </c>
      <c r="G181" t="s">
        <v>1135</v>
      </c>
    </row>
    <row r="182" spans="1:7" x14ac:dyDescent="0.3">
      <c r="A182" t="s">
        <v>1136</v>
      </c>
      <c r="B182" t="s">
        <v>1137</v>
      </c>
      <c r="C182" t="s">
        <v>1138</v>
      </c>
      <c r="D182" t="s">
        <v>387</v>
      </c>
      <c r="E182" t="s">
        <v>1139</v>
      </c>
      <c r="F182" t="s">
        <v>1140</v>
      </c>
      <c r="G182" t="s">
        <v>1141</v>
      </c>
    </row>
    <row r="183" spans="1:7" x14ac:dyDescent="0.3">
      <c r="A183" t="s">
        <v>1142</v>
      </c>
      <c r="B183" t="s">
        <v>1143</v>
      </c>
      <c r="C183" t="s">
        <v>1144</v>
      </c>
      <c r="D183" t="s">
        <v>290</v>
      </c>
      <c r="E183" t="s">
        <v>1145</v>
      </c>
      <c r="F183" t="s">
        <v>1146</v>
      </c>
      <c r="G183" t="s">
        <v>1147</v>
      </c>
    </row>
    <row r="184" spans="1:7" x14ac:dyDescent="0.3">
      <c r="A184" t="s">
        <v>1148</v>
      </c>
      <c r="B184" t="s">
        <v>1149</v>
      </c>
      <c r="C184" t="s">
        <v>1150</v>
      </c>
      <c r="D184" t="s">
        <v>191</v>
      </c>
      <c r="E184" t="s">
        <v>1151</v>
      </c>
      <c r="F184" t="s">
        <v>1152</v>
      </c>
      <c r="G184" t="s">
        <v>1153</v>
      </c>
    </row>
    <row r="185" spans="1:7" x14ac:dyDescent="0.3">
      <c r="A185" t="s">
        <v>1154</v>
      </c>
      <c r="B185" t="s">
        <v>1155</v>
      </c>
      <c r="C185" t="s">
        <v>1156</v>
      </c>
      <c r="D185" t="s">
        <v>130</v>
      </c>
      <c r="E185" t="s">
        <v>1157</v>
      </c>
      <c r="F185" t="s">
        <v>1158</v>
      </c>
      <c r="G185" t="s">
        <v>1159</v>
      </c>
    </row>
    <row r="186" spans="1:7" x14ac:dyDescent="0.3">
      <c r="A186" t="s">
        <v>1160</v>
      </c>
      <c r="B186" t="s">
        <v>1161</v>
      </c>
      <c r="C186" t="s">
        <v>1162</v>
      </c>
      <c r="D186" t="s">
        <v>177</v>
      </c>
      <c r="E186" t="s">
        <v>1163</v>
      </c>
      <c r="F186" t="s">
        <v>330</v>
      </c>
      <c r="G186" t="s">
        <v>1164</v>
      </c>
    </row>
    <row r="187" spans="1:7" x14ac:dyDescent="0.3">
      <c r="A187" t="s">
        <v>1165</v>
      </c>
      <c r="B187" t="s">
        <v>1166</v>
      </c>
      <c r="C187" t="s">
        <v>1167</v>
      </c>
      <c r="D187" t="s">
        <v>684</v>
      </c>
      <c r="E187" t="s">
        <v>1168</v>
      </c>
      <c r="F187" t="s">
        <v>1169</v>
      </c>
      <c r="G187" t="s">
        <v>1170</v>
      </c>
    </row>
    <row r="188" spans="1:7" x14ac:dyDescent="0.3">
      <c r="A188" t="s">
        <v>1171</v>
      </c>
      <c r="B188" t="s">
        <v>1172</v>
      </c>
      <c r="C188" t="s">
        <v>1173</v>
      </c>
      <c r="D188" t="s">
        <v>123</v>
      </c>
      <c r="E188" t="s">
        <v>1174</v>
      </c>
      <c r="F188" t="s">
        <v>1175</v>
      </c>
      <c r="G188" t="s">
        <v>1176</v>
      </c>
    </row>
    <row r="189" spans="1:7" x14ac:dyDescent="0.3">
      <c r="A189" t="s">
        <v>1177</v>
      </c>
      <c r="B189" t="s">
        <v>1178</v>
      </c>
      <c r="C189" t="s">
        <v>1179</v>
      </c>
      <c r="D189" t="s">
        <v>1180</v>
      </c>
      <c r="E189" t="s">
        <v>1181</v>
      </c>
      <c r="F189" t="s">
        <v>1182</v>
      </c>
      <c r="G189" t="s">
        <v>1183</v>
      </c>
    </row>
    <row r="190" spans="1:7" x14ac:dyDescent="0.3">
      <c r="A190" t="s">
        <v>1184</v>
      </c>
      <c r="B190" t="s">
        <v>1185</v>
      </c>
      <c r="C190" t="s">
        <v>1186</v>
      </c>
      <c r="D190" t="s">
        <v>1187</v>
      </c>
      <c r="E190" t="s">
        <v>1188</v>
      </c>
      <c r="F190" t="s">
        <v>1189</v>
      </c>
      <c r="G190" t="s">
        <v>1190</v>
      </c>
    </row>
    <row r="191" spans="1:7" x14ac:dyDescent="0.3">
      <c r="A191" t="s">
        <v>1191</v>
      </c>
      <c r="B191" t="s">
        <v>1192</v>
      </c>
      <c r="C191" t="s">
        <v>1193</v>
      </c>
      <c r="D191" t="s">
        <v>177</v>
      </c>
      <c r="E191" t="s">
        <v>1194</v>
      </c>
      <c r="F191" t="s">
        <v>330</v>
      </c>
      <c r="G191" t="s">
        <v>836</v>
      </c>
    </row>
    <row r="192" spans="1:7" x14ac:dyDescent="0.3">
      <c r="A192" t="s">
        <v>1195</v>
      </c>
      <c r="B192" t="s">
        <v>1196</v>
      </c>
      <c r="C192" t="s">
        <v>1197</v>
      </c>
      <c r="D192" t="s">
        <v>198</v>
      </c>
      <c r="E192" t="s">
        <v>1198</v>
      </c>
      <c r="F192" t="s">
        <v>1199</v>
      </c>
      <c r="G192" t="s">
        <v>1200</v>
      </c>
    </row>
    <row r="193" spans="1:7" x14ac:dyDescent="0.3">
      <c r="A193" t="s">
        <v>1201</v>
      </c>
      <c r="B193" t="s">
        <v>1202</v>
      </c>
      <c r="C193" t="s">
        <v>1203</v>
      </c>
      <c r="D193" t="s">
        <v>1204</v>
      </c>
      <c r="E193" t="s">
        <v>1205</v>
      </c>
      <c r="F193" t="s">
        <v>1206</v>
      </c>
      <c r="G193" t="s">
        <v>318</v>
      </c>
    </row>
    <row r="194" spans="1:7" x14ac:dyDescent="0.3">
      <c r="A194" t="s">
        <v>1207</v>
      </c>
      <c r="B194" t="s">
        <v>1208</v>
      </c>
      <c r="C194" t="s">
        <v>1209</v>
      </c>
      <c r="D194" t="s">
        <v>1070</v>
      </c>
      <c r="E194" t="s">
        <v>1210</v>
      </c>
      <c r="F194" t="s">
        <v>1211</v>
      </c>
      <c r="G194" t="s">
        <v>1212</v>
      </c>
    </row>
    <row r="195" spans="1:7" x14ac:dyDescent="0.3">
      <c r="A195" t="s">
        <v>1213</v>
      </c>
      <c r="B195" t="s">
        <v>1214</v>
      </c>
      <c r="C195" t="s">
        <v>1215</v>
      </c>
      <c r="D195" t="s">
        <v>387</v>
      </c>
      <c r="E195" t="s">
        <v>1216</v>
      </c>
      <c r="F195" t="s">
        <v>1217</v>
      </c>
      <c r="G195" t="s">
        <v>1218</v>
      </c>
    </row>
    <row r="196" spans="1:7" x14ac:dyDescent="0.3">
      <c r="A196" t="s">
        <v>1219</v>
      </c>
      <c r="B196" t="s">
        <v>1220</v>
      </c>
      <c r="C196" t="s">
        <v>1221</v>
      </c>
      <c r="D196" t="s">
        <v>290</v>
      </c>
      <c r="E196" t="s">
        <v>1222</v>
      </c>
      <c r="F196" t="s">
        <v>1223</v>
      </c>
      <c r="G196" t="s">
        <v>1224</v>
      </c>
    </row>
    <row r="197" spans="1:7" x14ac:dyDescent="0.3">
      <c r="A197" t="s">
        <v>1225</v>
      </c>
      <c r="B197" t="s">
        <v>1226</v>
      </c>
      <c r="C197" t="s">
        <v>1227</v>
      </c>
      <c r="D197" t="s">
        <v>1228</v>
      </c>
      <c r="E197" t="s">
        <v>1229</v>
      </c>
      <c r="F197" t="s">
        <v>1230</v>
      </c>
      <c r="G197" t="s">
        <v>113</v>
      </c>
    </row>
    <row r="198" spans="1:7" x14ac:dyDescent="0.3">
      <c r="A198" t="s">
        <v>1231</v>
      </c>
      <c r="B198" t="s">
        <v>1232</v>
      </c>
      <c r="C198" t="s">
        <v>1233</v>
      </c>
      <c r="D198" t="s">
        <v>157</v>
      </c>
      <c r="E198" t="s">
        <v>1234</v>
      </c>
      <c r="F198" t="s">
        <v>1235</v>
      </c>
      <c r="G198" t="s">
        <v>1236</v>
      </c>
    </row>
    <row r="199" spans="1:7" x14ac:dyDescent="0.3">
      <c r="A199" t="s">
        <v>1237</v>
      </c>
      <c r="B199" t="s">
        <v>1238</v>
      </c>
      <c r="C199" t="s">
        <v>1239</v>
      </c>
      <c r="D199" t="s">
        <v>177</v>
      </c>
      <c r="E199" t="s">
        <v>1240</v>
      </c>
      <c r="F199" t="s">
        <v>1241</v>
      </c>
      <c r="G199" t="s">
        <v>1242</v>
      </c>
    </row>
    <row r="200" spans="1:7" x14ac:dyDescent="0.3">
      <c r="A200" t="s">
        <v>1243</v>
      </c>
      <c r="B200" t="s">
        <v>1243</v>
      </c>
      <c r="C200" t="s">
        <v>1244</v>
      </c>
      <c r="D200" t="s">
        <v>1245</v>
      </c>
      <c r="E200" t="s">
        <v>1246</v>
      </c>
      <c r="F200" t="s">
        <v>1247</v>
      </c>
      <c r="G200" t="s">
        <v>1248</v>
      </c>
    </row>
    <row r="201" spans="1:7" x14ac:dyDescent="0.3">
      <c r="A201" t="s">
        <v>1249</v>
      </c>
      <c r="B201" t="s">
        <v>1250</v>
      </c>
      <c r="C201" t="s">
        <v>1251</v>
      </c>
      <c r="D201" t="s">
        <v>177</v>
      </c>
      <c r="E201" t="s">
        <v>1252</v>
      </c>
      <c r="F201" t="s">
        <v>330</v>
      </c>
      <c r="G201" t="s">
        <v>594</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942C9-3858-4CFA-99CE-C57998B3E436}">
  <sheetPr codeName="Sheet2"/>
  <dimension ref="A1:S188"/>
  <sheetViews>
    <sheetView topLeftCell="A163" zoomScaleNormal="100" workbookViewId="0">
      <selection activeCell="F1" sqref="F1:F188"/>
    </sheetView>
  </sheetViews>
  <sheetFormatPr defaultRowHeight="14.4" x14ac:dyDescent="0.3"/>
  <cols>
    <col min="1" max="1" width="31.109375" bestFit="1" customWidth="1"/>
    <col min="2" max="2" width="10" bestFit="1" customWidth="1"/>
    <col min="3" max="3" width="12.6640625" bestFit="1" customWidth="1"/>
    <col min="4" max="4" width="15.44140625" bestFit="1" customWidth="1"/>
    <col min="5" max="5" width="13" bestFit="1" customWidth="1"/>
    <col min="6" max="6" width="18.77734375" bestFit="1" customWidth="1"/>
    <col min="7" max="7" width="18.44140625" bestFit="1" customWidth="1"/>
    <col min="8" max="8" width="21.44140625" bestFit="1" customWidth="1"/>
    <col min="9" max="9" width="20.44140625" bestFit="1" customWidth="1"/>
    <col min="10" max="10" width="7.44140625" bestFit="1" customWidth="1"/>
    <col min="11" max="11" width="13" bestFit="1" customWidth="1"/>
    <col min="12" max="12" width="16.44140625" bestFit="1" customWidth="1"/>
    <col min="13" max="13" width="15.44140625" bestFit="1" customWidth="1"/>
    <col min="14" max="14" width="17.33203125" bestFit="1" customWidth="1"/>
    <col min="15" max="15" width="20.109375" bestFit="1" customWidth="1"/>
    <col min="16" max="16" width="19.77734375" bestFit="1" customWidth="1"/>
    <col min="17" max="17" width="30.33203125" bestFit="1" customWidth="1"/>
    <col min="18" max="18" width="18.77734375" bestFit="1" customWidth="1"/>
  </cols>
  <sheetData>
    <row r="1" spans="1:19" x14ac:dyDescent="0.3">
      <c r="A1" t="s">
        <v>0</v>
      </c>
      <c r="B1" t="s">
        <v>1</v>
      </c>
      <c r="C1" t="s">
        <v>2</v>
      </c>
      <c r="D1" t="s">
        <v>3</v>
      </c>
      <c r="E1" t="s">
        <v>4</v>
      </c>
      <c r="F1" t="s">
        <v>5</v>
      </c>
      <c r="G1" t="s">
        <v>6</v>
      </c>
      <c r="H1" t="s">
        <v>1253</v>
      </c>
      <c r="I1" t="s">
        <v>1254</v>
      </c>
      <c r="J1" t="s">
        <v>1255</v>
      </c>
      <c r="K1" t="s">
        <v>1256</v>
      </c>
      <c r="L1" t="s">
        <v>1273</v>
      </c>
      <c r="M1" t="s">
        <v>1274</v>
      </c>
      <c r="N1" t="s">
        <v>1275</v>
      </c>
      <c r="O1" t="s">
        <v>1276</v>
      </c>
      <c r="P1" t="s">
        <v>1287</v>
      </c>
      <c r="Q1" t="s">
        <v>1288</v>
      </c>
      <c r="R1" t="s">
        <v>1289</v>
      </c>
      <c r="S1" t="s">
        <v>1290</v>
      </c>
    </row>
    <row r="2" spans="1:19" x14ac:dyDescent="0.3">
      <c r="A2" t="s">
        <v>7</v>
      </c>
      <c r="B2" t="s">
        <v>8</v>
      </c>
      <c r="C2">
        <v>112396.23</v>
      </c>
      <c r="D2">
        <v>6.7999999999999996E-3</v>
      </c>
      <c r="E2">
        <v>2236591973065</v>
      </c>
      <c r="F2">
        <v>61196410006</v>
      </c>
      <c r="G2" t="s">
        <v>13</v>
      </c>
      <c r="H2">
        <v>19910000</v>
      </c>
      <c r="I2">
        <f>Cleaned_Data[[#This Row],[Volume (24h) USD]]/Cleaned_Data[[#This Row],[Circulating_Supply($)]]</f>
        <v>3073.6519340030136</v>
      </c>
      <c r="J2">
        <f>RANK(Cleaned_Data[[#This Row],[Market Cap]],Cleaned_Data[Market Cap],0)</f>
        <v>1</v>
      </c>
      <c r="K2" t="str">
        <f t="shared" ref="K2:K33" si="0">IF(C2&lt;=0.5,"0-0.5",
IF(C2&lt;=1,"0.5-1",
IF(C2&lt;=2,"1-2",
IF(C2&lt;=10,"2-10",
IF(C2&lt;=100,"10-100",
IF(C2&lt;=10000,"100-10000",
"10000+"))))))</f>
        <v>10000+</v>
      </c>
      <c r="L2">
        <f>Cleaned_Data[[#This Row],[1h Change (%)]]*24</f>
        <v>0.16319999999999998</v>
      </c>
      <c r="M2">
        <f>Cleaned_Data[[#This Row],[24h Change (%)]]*7</f>
        <v>1.1423999999999999</v>
      </c>
      <c r="N2" t="str" cm="1">
        <f t="array" ref="N2">_xlfn.IFS(Cleaned_Data[[#This Row],[Price (USD)]]&lt;0.05,"0 - 0.05",Cleaned_Data[[#This Row],[Price (USD)]]&lt;0.5,"0.05 - 0.5",Cleaned_Data[[#This Row],[Price (USD)]]&lt;5,"0.5 - 5",Cleaned_Data[[#This Row],[Price (USD)]]&lt;50,"5 - 50",Cleaned_Data[[#This Row],[Price (USD)]]&gt;=50,"&gt; 50")</f>
        <v>&gt; 50</v>
      </c>
      <c r="O2">
        <f>(Cleaned_Data[[#This Row],[1h Change (%)]]+Cleaned_Data[[#This Row],[24h Change (%)]]+Cleaned_Data[[#This Row],[7d Change (%)]])/3</f>
        <v>0.43746666666666661</v>
      </c>
      <c r="P2">
        <f>Cleaned_Data[[#This Row],[Price (USD)]]/(1+Cleaned_Data[[#This Row],[1h Change (%)]]/100)</f>
        <v>112388.58757604483</v>
      </c>
      <c r="Q2">
        <f>Cleaned_Data[[#This Row],[Price (USD)]]/(1-Cleaned_Data[[#This Row],[24h Change (%)]]/100)</f>
        <v>112579.96049552869</v>
      </c>
      <c r="R2">
        <f>Cleaned_Data[[#This Row],[Price (USD)]]/(1+Cleaned_Data[[#This Row],[7d Change (%)]]/100)</f>
        <v>111126.71836934854</v>
      </c>
      <c r="S2">
        <f>Cleaned_Data[[#This Row],[Price (USD)]]-Cleaned_Data[[#This Row],[1-Hour Before Price]]</f>
        <v>7.6424239551706705</v>
      </c>
    </row>
    <row r="3" spans="1:19" x14ac:dyDescent="0.3">
      <c r="A3" t="s">
        <v>14</v>
      </c>
      <c r="B3" t="s">
        <v>15</v>
      </c>
      <c r="C3">
        <v>4631.6899999999996</v>
      </c>
      <c r="D3">
        <v>4.3E-3</v>
      </c>
      <c r="E3">
        <v>558774287294</v>
      </c>
      <c r="F3">
        <v>43714609700</v>
      </c>
      <c r="G3" t="s">
        <v>20</v>
      </c>
      <c r="H3">
        <v>120700000</v>
      </c>
      <c r="I3">
        <f>Cleaned_Data[[#This Row],[Volume (24h) USD]]/Cleaned_Data[[#This Row],[Circulating_Supply($)]]</f>
        <v>362.17572245236124</v>
      </c>
      <c r="J3">
        <f>RANK(Cleaned_Data[[#This Row],[Market Cap]],Cleaned_Data[Market Cap],0)</f>
        <v>2</v>
      </c>
      <c r="K3" t="str">
        <f t="shared" si="0"/>
        <v>100-10000</v>
      </c>
      <c r="L3">
        <f>Cleaned_Data[[#This Row],[1h Change (%)]]*24</f>
        <v>0.1032</v>
      </c>
      <c r="M3">
        <f>Cleaned_Data[[#This Row],[24h Change (%)]]*7</f>
        <v>0.72240000000000004</v>
      </c>
      <c r="N3" t="str" cm="1">
        <f t="array" ref="N3">_xlfn.IFS(Cleaned_Data[[#This Row],[Price (USD)]]&lt;0.05,"0 - 0.05",Cleaned_Data[[#This Row],[Price (USD)]]&lt;0.5,"0.05 - 0.5",Cleaned_Data[[#This Row],[Price (USD)]]&lt;5,"0.5 - 5",Cleaned_Data[[#This Row],[Price (USD)]]&lt;50,"5 - 50",Cleaned_Data[[#This Row],[Price (USD)]]&gt;=50,"&gt; 50")</f>
        <v>&gt; 50</v>
      </c>
      <c r="O3">
        <f>(Cleaned_Data[[#This Row],[1h Change (%)]]+Cleaned_Data[[#This Row],[24h Change (%)]]+Cleaned_Data[[#This Row],[7d Change (%)]])/3</f>
        <v>0.27663333333333334</v>
      </c>
      <c r="P3">
        <f>Cleaned_Data[[#This Row],[Price (USD)]]/(1+Cleaned_Data[[#This Row],[1h Change (%)]]/100)</f>
        <v>4631.4908458936261</v>
      </c>
      <c r="Q3">
        <f>Cleaned_Data[[#This Row],[Price (USD)]]/(1-Cleaned_Data[[#This Row],[24h Change (%)]]/100)</f>
        <v>4636.4748420369815</v>
      </c>
      <c r="R3">
        <f>Cleaned_Data[[#This Row],[Price (USD)]]/(1+Cleaned_Data[[#This Row],[7d Change (%)]]/100)</f>
        <v>4598.4706480385694</v>
      </c>
      <c r="S3">
        <f>Cleaned_Data[[#This Row],[Price (USD)]]-Cleaned_Data[[#This Row],[1-Hour Before Price]]</f>
        <v>0.19915410637349851</v>
      </c>
    </row>
    <row r="4" spans="1:19" x14ac:dyDescent="0.3">
      <c r="A4" t="s">
        <v>21</v>
      </c>
      <c r="B4" t="s">
        <v>21</v>
      </c>
      <c r="C4">
        <v>3.02</v>
      </c>
      <c r="D4">
        <v>4.4999999999999997E-3</v>
      </c>
      <c r="E4">
        <v>179761935139</v>
      </c>
      <c r="F4">
        <v>6447508710</v>
      </c>
      <c r="G4" t="s">
        <v>26</v>
      </c>
      <c r="H4">
        <v>59480000000</v>
      </c>
      <c r="I4">
        <f>Cleaned_Data[[#This Row],[Volume (24h) USD]]/Cleaned_Data[[#This Row],[Circulating_Supply($)]]</f>
        <v>0.10839792720242099</v>
      </c>
      <c r="J4">
        <f>RANK(Cleaned_Data[[#This Row],[Market Cap]],Cleaned_Data[Market Cap],0)</f>
        <v>3</v>
      </c>
      <c r="K4" t="str">
        <f t="shared" si="0"/>
        <v>2-10</v>
      </c>
      <c r="L4">
        <f>Cleaned_Data[[#This Row],[1h Change (%)]]*24</f>
        <v>0.10799999999999998</v>
      </c>
      <c r="M4">
        <f>Cleaned_Data[[#This Row],[24h Change (%)]]*7</f>
        <v>0.75599999999999989</v>
      </c>
      <c r="N4" t="str" cm="1">
        <f t="array" ref="N4">_xlfn.IFS(Cleaned_Data[[#This Row],[Price (USD)]]&lt;0.05,"0 - 0.05",Cleaned_Data[[#This Row],[Price (USD)]]&lt;0.5,"0.05 - 0.5",Cleaned_Data[[#This Row],[Price (USD)]]&lt;5,"0.5 - 5",Cleaned_Data[[#This Row],[Price (USD)]]&lt;50,"5 - 50",Cleaned_Data[[#This Row],[Price (USD)]]&gt;=50,"&gt; 50")</f>
        <v>0.5 - 5</v>
      </c>
      <c r="O4">
        <f>(Cleaned_Data[[#This Row],[1h Change (%)]]+Cleaned_Data[[#This Row],[24h Change (%)]]+Cleaned_Data[[#This Row],[7d Change (%)]])/3</f>
        <v>0.28949999999999992</v>
      </c>
      <c r="P4">
        <f>Cleaned_Data[[#This Row],[Price (USD)]]/(1+Cleaned_Data[[#This Row],[1h Change (%)]]/100)</f>
        <v>3.0198641061152247</v>
      </c>
      <c r="Q4">
        <f>Cleaned_Data[[#This Row],[Price (USD)]]/(1-Cleaned_Data[[#This Row],[24h Change (%)]]/100)</f>
        <v>3.0232651263364434</v>
      </c>
      <c r="R4">
        <f>Cleaned_Data[[#This Row],[Price (USD)]]/(1+Cleaned_Data[[#This Row],[7d Change (%)]]/100)</f>
        <v>2.997340108777641</v>
      </c>
      <c r="S4">
        <f>Cleaned_Data[[#This Row],[Price (USD)]]-Cleaned_Data[[#This Row],[1-Hour Before Price]]</f>
        <v>1.3589388477530662E-4</v>
      </c>
    </row>
    <row r="5" spans="1:19" x14ac:dyDescent="0.3">
      <c r="A5" t="s">
        <v>27</v>
      </c>
      <c r="B5" t="s">
        <v>28</v>
      </c>
      <c r="C5">
        <v>1</v>
      </c>
      <c r="D5">
        <v>6.9999999999999999E-4</v>
      </c>
      <c r="E5">
        <v>167211922205</v>
      </c>
      <c r="F5">
        <v>117252093277</v>
      </c>
      <c r="G5" t="s">
        <v>33</v>
      </c>
      <c r="H5">
        <v>167200000000</v>
      </c>
      <c r="I5">
        <f>Cleaned_Data[[#This Row],[Volume (24h) USD]]/Cleaned_Data[[#This Row],[Circulating_Supply($)]]</f>
        <v>0.70126850046052636</v>
      </c>
      <c r="J5">
        <f>RANK(Cleaned_Data[[#This Row],[Market Cap]],Cleaned_Data[Market Cap],0)</f>
        <v>4</v>
      </c>
      <c r="K5" t="str">
        <f t="shared" si="0"/>
        <v>0.5-1</v>
      </c>
      <c r="L5">
        <f>Cleaned_Data[[#This Row],[1h Change (%)]]*24</f>
        <v>1.6799999999999999E-2</v>
      </c>
      <c r="M5">
        <f>Cleaned_Data[[#This Row],[24h Change (%)]]*7</f>
        <v>0.1176</v>
      </c>
      <c r="N5" t="str" cm="1">
        <f t="array" ref="N5">_xlfn.IFS(Cleaned_Data[[#This Row],[Price (USD)]]&lt;0.05,"0 - 0.05",Cleaned_Data[[#This Row],[Price (USD)]]&lt;0.5,"0.05 - 0.5",Cleaned_Data[[#This Row],[Price (USD)]]&lt;5,"0.5 - 5",Cleaned_Data[[#This Row],[Price (USD)]]&lt;50,"5 - 50",Cleaned_Data[[#This Row],[Price (USD)]]&gt;=50,"&gt; 50")</f>
        <v>0.5 - 5</v>
      </c>
      <c r="O5">
        <f>(Cleaned_Data[[#This Row],[1h Change (%)]]+Cleaned_Data[[#This Row],[24h Change (%)]]+Cleaned_Data[[#This Row],[7d Change (%)]])/3</f>
        <v>4.5033333333333335E-2</v>
      </c>
      <c r="P5">
        <f>Cleaned_Data[[#This Row],[Price (USD)]]/(1+Cleaned_Data[[#This Row],[1h Change (%)]]/100)</f>
        <v>0.9999930000489996</v>
      </c>
      <c r="Q5">
        <f>Cleaned_Data[[#This Row],[Price (USD)]]/(1-Cleaned_Data[[#This Row],[24h Change (%)]]/100)</f>
        <v>1.0001680282287424</v>
      </c>
      <c r="R5">
        <f>Cleaned_Data[[#This Row],[Price (USD)]]/(1+Cleaned_Data[[#This Row],[7d Change (%)]]/100)</f>
        <v>0.99882538135153054</v>
      </c>
      <c r="S5">
        <f>Cleaned_Data[[#This Row],[Price (USD)]]-Cleaned_Data[[#This Row],[1-Hour Before Price]]</f>
        <v>6.9999510003970755E-6</v>
      </c>
    </row>
    <row r="6" spans="1:19" x14ac:dyDescent="0.3">
      <c r="A6" t="s">
        <v>34</v>
      </c>
      <c r="B6" t="s">
        <v>34</v>
      </c>
      <c r="C6">
        <v>864.91</v>
      </c>
      <c r="D6">
        <v>2.3999999999999998E-3</v>
      </c>
      <c r="E6">
        <v>120460279991</v>
      </c>
      <c r="F6">
        <v>2278674127</v>
      </c>
      <c r="G6" t="s">
        <v>39</v>
      </c>
      <c r="H6">
        <v>139280000</v>
      </c>
      <c r="I6">
        <f>Cleaned_Data[[#This Row],[Volume (24h) USD]]/Cleaned_Data[[#This Row],[Circulating_Supply($)]]</f>
        <v>16.360382876220562</v>
      </c>
      <c r="J6">
        <f>RANK(Cleaned_Data[[#This Row],[Market Cap]],Cleaned_Data[Market Cap],0)</f>
        <v>5</v>
      </c>
      <c r="K6" t="str">
        <f t="shared" si="0"/>
        <v>100-10000</v>
      </c>
      <c r="L6">
        <f>Cleaned_Data[[#This Row],[1h Change (%)]]*24</f>
        <v>5.7599999999999998E-2</v>
      </c>
      <c r="M6">
        <f>Cleaned_Data[[#This Row],[24h Change (%)]]*7</f>
        <v>0.4032</v>
      </c>
      <c r="N6" t="str" cm="1">
        <f t="array" ref="N6">_xlfn.IFS(Cleaned_Data[[#This Row],[Price (USD)]]&lt;0.05,"0 - 0.05",Cleaned_Data[[#This Row],[Price (USD)]]&lt;0.5,"0.05 - 0.5",Cleaned_Data[[#This Row],[Price (USD)]]&lt;5,"0.5 - 5",Cleaned_Data[[#This Row],[Price (USD)]]&lt;50,"5 - 50",Cleaned_Data[[#This Row],[Price (USD)]]&gt;=50,"&gt; 50")</f>
        <v>&gt; 50</v>
      </c>
      <c r="O6">
        <f>(Cleaned_Data[[#This Row],[1h Change (%)]]+Cleaned_Data[[#This Row],[24h Change (%)]]+Cleaned_Data[[#This Row],[7d Change (%)]])/3</f>
        <v>0.15440000000000001</v>
      </c>
      <c r="P6">
        <f>Cleaned_Data[[#This Row],[Price (USD)]]/(1+Cleaned_Data[[#This Row],[1h Change (%)]]/100)</f>
        <v>864.88924265817616</v>
      </c>
      <c r="Q6">
        <f>Cleaned_Data[[#This Row],[Price (USD)]]/(1-Cleaned_Data[[#This Row],[24h Change (%)]]/100)</f>
        <v>865.40847528176232</v>
      </c>
      <c r="R6">
        <f>Cleaned_Data[[#This Row],[Price (USD)]]/(1+Cleaned_Data[[#This Row],[7d Change (%)]]/100)</f>
        <v>861.43668727689953</v>
      </c>
      <c r="S6">
        <f>Cleaned_Data[[#This Row],[Price (USD)]]-Cleaned_Data[[#This Row],[1-Hour Before Price]]</f>
        <v>2.0757341823809838E-2</v>
      </c>
    </row>
    <row r="7" spans="1:19" x14ac:dyDescent="0.3">
      <c r="A7" t="s">
        <v>40</v>
      </c>
      <c r="B7" t="s">
        <v>41</v>
      </c>
      <c r="C7">
        <v>208.97</v>
      </c>
      <c r="D7">
        <v>7.7999999999999996E-3</v>
      </c>
      <c r="E7">
        <v>112989075044</v>
      </c>
      <c r="F7">
        <v>10127054144</v>
      </c>
      <c r="G7" t="s">
        <v>46</v>
      </c>
      <c r="H7">
        <v>540670000</v>
      </c>
      <c r="I7">
        <f>Cleaned_Data[[#This Row],[Volume (24h) USD]]/Cleaned_Data[[#This Row],[Circulating_Supply($)]]</f>
        <v>18.730564196274994</v>
      </c>
      <c r="J7">
        <f>RANK(Cleaned_Data[[#This Row],[Market Cap]],Cleaned_Data[Market Cap],0)</f>
        <v>6</v>
      </c>
      <c r="K7" t="str">
        <f t="shared" si="0"/>
        <v>100-10000</v>
      </c>
      <c r="L7">
        <f>Cleaned_Data[[#This Row],[1h Change (%)]]*24</f>
        <v>0.18719999999999998</v>
      </c>
      <c r="M7">
        <f>Cleaned_Data[[#This Row],[24h Change (%)]]*7</f>
        <v>1.3103999999999998</v>
      </c>
      <c r="N7" t="str" cm="1">
        <f t="array" ref="N7">_xlfn.IFS(Cleaned_Data[[#This Row],[Price (USD)]]&lt;0.05,"0 - 0.05",Cleaned_Data[[#This Row],[Price (USD)]]&lt;0.5,"0.05 - 0.5",Cleaned_Data[[#This Row],[Price (USD)]]&lt;5,"0.5 - 5",Cleaned_Data[[#This Row],[Price (USD)]]&lt;50,"5 - 50",Cleaned_Data[[#This Row],[Price (USD)]]&gt;=50,"&gt; 50")</f>
        <v>&gt; 50</v>
      </c>
      <c r="O7">
        <f>(Cleaned_Data[[#This Row],[1h Change (%)]]+Cleaned_Data[[#This Row],[24h Change (%)]]+Cleaned_Data[[#This Row],[7d Change (%)]])/3</f>
        <v>0.50179999999999991</v>
      </c>
      <c r="P7">
        <f>Cleaned_Data[[#This Row],[Price (USD)]]/(1+Cleaned_Data[[#This Row],[1h Change (%)]]/100)</f>
        <v>208.95370161127431</v>
      </c>
      <c r="Q7">
        <f>Cleaned_Data[[#This Row],[Price (USD)]]/(1-Cleaned_Data[[#This Row],[24h Change (%)]]/100)</f>
        <v>209.36192552458201</v>
      </c>
      <c r="R7">
        <f>Cleaned_Data[[#This Row],[Price (USD)]]/(1+Cleaned_Data[[#This Row],[7d Change (%)]]/100)</f>
        <v>206.26707623304222</v>
      </c>
      <c r="S7">
        <f>Cleaned_Data[[#This Row],[Price (USD)]]-Cleaned_Data[[#This Row],[1-Hour Before Price]]</f>
        <v>1.6298388725687118E-2</v>
      </c>
    </row>
    <row r="8" spans="1:19" x14ac:dyDescent="0.3">
      <c r="A8" t="s">
        <v>47</v>
      </c>
      <c r="B8" t="s">
        <v>47</v>
      </c>
      <c r="C8">
        <v>0.99970000000000003</v>
      </c>
      <c r="D8">
        <v>5.9999999999999995E-4</v>
      </c>
      <c r="E8">
        <v>69140705171</v>
      </c>
      <c r="F8">
        <v>17027792821</v>
      </c>
      <c r="G8" t="s">
        <v>52</v>
      </c>
      <c r="H8">
        <v>69150000000</v>
      </c>
      <c r="I8">
        <f>Cleaned_Data[[#This Row],[Volume (24h) USD]]/Cleaned_Data[[#This Row],[Circulating_Supply($)]]</f>
        <v>0.24624429242227042</v>
      </c>
      <c r="J8">
        <f>RANK(Cleaned_Data[[#This Row],[Market Cap]],Cleaned_Data[Market Cap],0)</f>
        <v>7</v>
      </c>
      <c r="K8" t="str">
        <f t="shared" si="0"/>
        <v>0.5-1</v>
      </c>
      <c r="L8">
        <f>Cleaned_Data[[#This Row],[1h Change (%)]]*24</f>
        <v>1.44E-2</v>
      </c>
      <c r="M8">
        <f>Cleaned_Data[[#This Row],[24h Change (%)]]*7</f>
        <v>0.1008</v>
      </c>
      <c r="N8" t="str" cm="1">
        <f t="array" ref="N8">_xlfn.IFS(Cleaned_Data[[#This Row],[Price (USD)]]&lt;0.05,"0 - 0.05",Cleaned_Data[[#This Row],[Price (USD)]]&lt;0.5,"0.05 - 0.5",Cleaned_Data[[#This Row],[Price (USD)]]&lt;5,"0.5 - 5",Cleaned_Data[[#This Row],[Price (USD)]]&lt;50,"5 - 50",Cleaned_Data[[#This Row],[Price (USD)]]&gt;=50,"&gt; 50")</f>
        <v>0.5 - 5</v>
      </c>
      <c r="O8">
        <f>(Cleaned_Data[[#This Row],[1h Change (%)]]+Cleaned_Data[[#This Row],[24h Change (%)]]+Cleaned_Data[[#This Row],[7d Change (%)]])/3</f>
        <v>3.8600000000000002E-2</v>
      </c>
      <c r="P8">
        <f>Cleaned_Data[[#This Row],[Price (USD)]]/(1+Cleaned_Data[[#This Row],[1h Change (%)]]/100)</f>
        <v>0.99969400183598911</v>
      </c>
      <c r="Q8">
        <f>Cleaned_Data[[#This Row],[Price (USD)]]/(1-Cleaned_Data[[#This Row],[24h Change (%)]]/100)</f>
        <v>0.99984397753276477</v>
      </c>
      <c r="R8">
        <f>Cleaned_Data[[#This Row],[Price (USD)]]/(1+Cleaned_Data[[#This Row],[7d Change (%)]]/100)</f>
        <v>0.9986933171363267</v>
      </c>
      <c r="S8">
        <f>Cleaned_Data[[#This Row],[Price (USD)]]-Cleaned_Data[[#This Row],[1-Hour Before Price]]</f>
        <v>5.9981640109230128E-6</v>
      </c>
    </row>
    <row r="9" spans="1:19" x14ac:dyDescent="0.3">
      <c r="A9" t="s">
        <v>53</v>
      </c>
      <c r="B9" t="s">
        <v>54</v>
      </c>
      <c r="C9">
        <v>0.22170000000000001</v>
      </c>
      <c r="D9">
        <v>6.7000000000000002E-3</v>
      </c>
      <c r="E9">
        <v>33418883909</v>
      </c>
      <c r="F9">
        <v>1961967012</v>
      </c>
      <c r="G9" t="s">
        <v>59</v>
      </c>
      <c r="H9">
        <v>150690000000</v>
      </c>
      <c r="I9">
        <f>Cleaned_Data[[#This Row],[Volume (24h) USD]]/Cleaned_Data[[#This Row],[Circulating_Supply($)]]</f>
        <v>1.3019888592474617E-2</v>
      </c>
      <c r="J9">
        <f>RANK(Cleaned_Data[[#This Row],[Market Cap]],Cleaned_Data[Market Cap],0)</f>
        <v>8</v>
      </c>
      <c r="K9" t="str">
        <f t="shared" si="0"/>
        <v>0-0.5</v>
      </c>
      <c r="L9">
        <f>Cleaned_Data[[#This Row],[1h Change (%)]]*24</f>
        <v>0.1608</v>
      </c>
      <c r="M9">
        <f>Cleaned_Data[[#This Row],[24h Change (%)]]*7</f>
        <v>1.1255999999999999</v>
      </c>
      <c r="N9" t="str" cm="1">
        <f t="array" ref="N9">_xlfn.IFS(Cleaned_Data[[#This Row],[Price (USD)]]&lt;0.05,"0 - 0.05",Cleaned_Data[[#This Row],[Price (USD)]]&lt;0.5,"0.05 - 0.5",Cleaned_Data[[#This Row],[Price (USD)]]&lt;5,"0.5 - 5",Cleaned_Data[[#This Row],[Price (USD)]]&lt;50,"5 - 50",Cleaned_Data[[#This Row],[Price (USD)]]&gt;=50,"&gt; 50")</f>
        <v>0.05 - 0.5</v>
      </c>
      <c r="O9">
        <f>(Cleaned_Data[[#This Row],[1h Change (%)]]+Cleaned_Data[[#This Row],[24h Change (%)]]+Cleaned_Data[[#This Row],[7d Change (%)]])/3</f>
        <v>0.43103333333333332</v>
      </c>
      <c r="P9">
        <f>Cleaned_Data[[#This Row],[Price (USD)]]/(1+Cleaned_Data[[#This Row],[1h Change (%)]]/100)</f>
        <v>0.22168514709514461</v>
      </c>
      <c r="Q9">
        <f>Cleaned_Data[[#This Row],[Price (USD)]]/(1-Cleaned_Data[[#This Row],[24h Change (%)]]/100)</f>
        <v>0.22205706776496609</v>
      </c>
      <c r="R9">
        <f>Cleaned_Data[[#This Row],[Price (USD)]]/(1+Cleaned_Data[[#This Row],[7d Change (%)]]/100)</f>
        <v>0.21923232099488163</v>
      </c>
      <c r="S9">
        <f>Cleaned_Data[[#This Row],[Price (USD)]]-Cleaned_Data[[#This Row],[1-Hour Before Price]]</f>
        <v>1.48529048553947E-5</v>
      </c>
    </row>
    <row r="10" spans="1:19" x14ac:dyDescent="0.3">
      <c r="A10" t="s">
        <v>60</v>
      </c>
      <c r="B10" t="s">
        <v>61</v>
      </c>
      <c r="C10">
        <v>0.35020000000000001</v>
      </c>
      <c r="D10">
        <v>1E-3</v>
      </c>
      <c r="E10">
        <v>33151724508</v>
      </c>
      <c r="F10">
        <v>973139421</v>
      </c>
      <c r="G10" t="s">
        <v>66</v>
      </c>
      <c r="H10">
        <v>94660000000</v>
      </c>
      <c r="I10">
        <f>Cleaned_Data[[#This Row],[Volume (24h) USD]]/Cleaned_Data[[#This Row],[Circulating_Supply($)]]</f>
        <v>1.0280365740545109E-2</v>
      </c>
      <c r="J10">
        <f>RANK(Cleaned_Data[[#This Row],[Market Cap]],Cleaned_Data[Market Cap],0)</f>
        <v>9</v>
      </c>
      <c r="K10" t="str">
        <f t="shared" si="0"/>
        <v>0-0.5</v>
      </c>
      <c r="L10">
        <f>Cleaned_Data[[#This Row],[1h Change (%)]]*24</f>
        <v>2.4E-2</v>
      </c>
      <c r="M10">
        <f>Cleaned_Data[[#This Row],[24h Change (%)]]*7</f>
        <v>0.16800000000000001</v>
      </c>
      <c r="N10" t="str" cm="1">
        <f t="array" ref="N10">_xlfn.IFS(Cleaned_Data[[#This Row],[Price (USD)]]&lt;0.05,"0 - 0.05",Cleaned_Data[[#This Row],[Price (USD)]]&lt;0.5,"0.05 - 0.5",Cleaned_Data[[#This Row],[Price (USD)]]&lt;5,"0.5 - 5",Cleaned_Data[[#This Row],[Price (USD)]]&lt;50,"5 - 50",Cleaned_Data[[#This Row],[Price (USD)]]&gt;=50,"&gt; 50")</f>
        <v>0.05 - 0.5</v>
      </c>
      <c r="O10">
        <f>(Cleaned_Data[[#This Row],[1h Change (%)]]+Cleaned_Data[[#This Row],[24h Change (%)]]+Cleaned_Data[[#This Row],[7d Change (%)]])/3</f>
        <v>6.433333333333334E-2</v>
      </c>
      <c r="P10">
        <f>Cleaned_Data[[#This Row],[Price (USD)]]/(1+Cleaned_Data[[#This Row],[1h Change (%)]]/100)</f>
        <v>0.35019649803501962</v>
      </c>
      <c r="Q10">
        <f>Cleaned_Data[[#This Row],[Price (USD)]]/(1-Cleaned_Data[[#This Row],[24h Change (%)]]/100)</f>
        <v>0.35028406817636232</v>
      </c>
      <c r="R10">
        <f>Cleaned_Data[[#This Row],[Price (USD)]]/(1+Cleaned_Data[[#This Row],[7d Change (%)]]/100)</f>
        <v>0.34961265074674552</v>
      </c>
      <c r="S10">
        <f>Cleaned_Data[[#This Row],[Price (USD)]]-Cleaned_Data[[#This Row],[1-Hour Before Price]]</f>
        <v>3.5019649803902375E-6</v>
      </c>
    </row>
    <row r="11" spans="1:19" x14ac:dyDescent="0.3">
      <c r="A11" t="s">
        <v>67</v>
      </c>
      <c r="B11" t="s">
        <v>68</v>
      </c>
      <c r="C11">
        <v>0.86929999999999996</v>
      </c>
      <c r="D11">
        <v>3.2000000000000002E-3</v>
      </c>
      <c r="E11">
        <v>31055700401</v>
      </c>
      <c r="F11">
        <v>1153461846</v>
      </c>
      <c r="G11" t="s">
        <v>73</v>
      </c>
      <c r="H11">
        <v>35720000000</v>
      </c>
      <c r="I11">
        <f>Cleaned_Data[[#This Row],[Volume (24h) USD]]/Cleaned_Data[[#This Row],[Circulating_Supply($)]]</f>
        <v>3.2291765005599105E-2</v>
      </c>
      <c r="J11">
        <f>RANK(Cleaned_Data[[#This Row],[Market Cap]],Cleaned_Data[Market Cap],0)</f>
        <v>10</v>
      </c>
      <c r="K11" t="str">
        <f t="shared" si="0"/>
        <v>0.5-1</v>
      </c>
      <c r="L11">
        <f>Cleaned_Data[[#This Row],[1h Change (%)]]*24</f>
        <v>7.6800000000000007E-2</v>
      </c>
      <c r="M11">
        <f>Cleaned_Data[[#This Row],[24h Change (%)]]*7</f>
        <v>0.53760000000000008</v>
      </c>
      <c r="N11" t="str" cm="1">
        <f t="array" ref="N11">_xlfn.IFS(Cleaned_Data[[#This Row],[Price (USD)]]&lt;0.05,"0 - 0.05",Cleaned_Data[[#This Row],[Price (USD)]]&lt;0.5,"0.05 - 0.5",Cleaned_Data[[#This Row],[Price (USD)]]&lt;5,"0.5 - 5",Cleaned_Data[[#This Row],[Price (USD)]]&lt;50,"5 - 50",Cleaned_Data[[#This Row],[Price (USD)]]&gt;=50,"&gt; 50")</f>
        <v>0.5 - 5</v>
      </c>
      <c r="O11">
        <f>(Cleaned_Data[[#This Row],[1h Change (%)]]+Cleaned_Data[[#This Row],[24h Change (%)]]+Cleaned_Data[[#This Row],[7d Change (%)]])/3</f>
        <v>0.20586666666666667</v>
      </c>
      <c r="P11">
        <f>Cleaned_Data[[#This Row],[Price (USD)]]/(1+Cleaned_Data[[#This Row],[1h Change (%)]]/100)</f>
        <v>0.86927218329013467</v>
      </c>
      <c r="Q11">
        <f>Cleaned_Data[[#This Row],[Price (USD)]]/(1-Cleaned_Data[[#This Row],[24h Change (%)]]/100)</f>
        <v>0.8699681355280855</v>
      </c>
      <c r="R11">
        <f>Cleaned_Data[[#This Row],[Price (USD)]]/(1+Cleaned_Data[[#This Row],[7d Change (%)]]/100)</f>
        <v>0.86465163282194912</v>
      </c>
      <c r="S11">
        <f>Cleaned_Data[[#This Row],[Price (USD)]]-Cleaned_Data[[#This Row],[1-Hour Before Price]]</f>
        <v>2.78167098652915E-5</v>
      </c>
    </row>
    <row r="12" spans="1:19" x14ac:dyDescent="0.3">
      <c r="A12" t="s">
        <v>74</v>
      </c>
      <c r="B12" t="s">
        <v>75</v>
      </c>
      <c r="C12">
        <v>0.99950000000000006</v>
      </c>
      <c r="D12">
        <v>1E-4</v>
      </c>
      <c r="E12">
        <v>687657857</v>
      </c>
      <c r="F12">
        <v>64711407</v>
      </c>
      <c r="G12" t="s">
        <v>80</v>
      </c>
      <c r="H12">
        <v>687950000</v>
      </c>
      <c r="I12">
        <f>Cleaned_Data[[#This Row],[Volume (24h) USD]]/Cleaned_Data[[#This Row],[Circulating_Supply($)]]</f>
        <v>9.4064113671051677E-2</v>
      </c>
      <c r="J12">
        <f>RANK(Cleaned_Data[[#This Row],[Market Cap]],Cleaned_Data[Market Cap],0)</f>
        <v>16</v>
      </c>
      <c r="K12" t="str">
        <f t="shared" si="0"/>
        <v>0.5-1</v>
      </c>
      <c r="L12">
        <f>Cleaned_Data[[#This Row],[1h Change (%)]]*24</f>
        <v>2.4000000000000002E-3</v>
      </c>
      <c r="M12">
        <f>Cleaned_Data[[#This Row],[24h Change (%)]]*7</f>
        <v>1.6800000000000002E-2</v>
      </c>
      <c r="N12" t="str" cm="1">
        <f t="array" ref="N12">_xlfn.IFS(Cleaned_Data[[#This Row],[Price (USD)]]&lt;0.05,"0 - 0.05",Cleaned_Data[[#This Row],[Price (USD)]]&lt;0.5,"0.05 - 0.5",Cleaned_Data[[#This Row],[Price (USD)]]&lt;5,"0.5 - 5",Cleaned_Data[[#This Row],[Price (USD)]]&lt;50,"5 - 50",Cleaned_Data[[#This Row],[Price (USD)]]&gt;=50,"&gt; 50")</f>
        <v>0.5 - 5</v>
      </c>
      <c r="O12">
        <f>(Cleaned_Data[[#This Row],[1h Change (%)]]+Cleaned_Data[[#This Row],[24h Change (%)]]+Cleaned_Data[[#This Row],[7d Change (%)]])/3</f>
        <v>6.4333333333333334E-3</v>
      </c>
      <c r="P12">
        <f>Cleaned_Data[[#This Row],[Price (USD)]]/(1+Cleaned_Data[[#This Row],[1h Change (%)]]/100)</f>
        <v>0.9994990005009996</v>
      </c>
      <c r="Q12">
        <f>Cleaned_Data[[#This Row],[Price (USD)]]/(1-Cleaned_Data[[#This Row],[24h Change (%)]]/100)</f>
        <v>0.99952398857572589</v>
      </c>
      <c r="R12">
        <f>Cleaned_Data[[#This Row],[Price (USD)]]/(1+Cleaned_Data[[#This Row],[7d Change (%)]]/100)</f>
        <v>0.99933211220514961</v>
      </c>
      <c r="S12">
        <f>Cleaned_Data[[#This Row],[Price (USD)]]-Cleaned_Data[[#This Row],[1-Hour Before Price]]</f>
        <v>9.9949900045359641E-7</v>
      </c>
    </row>
    <row r="13" spans="1:19" x14ac:dyDescent="0.3">
      <c r="A13" t="s">
        <v>81</v>
      </c>
      <c r="B13" t="s">
        <v>82</v>
      </c>
      <c r="C13">
        <v>42.45</v>
      </c>
      <c r="D13">
        <v>8.0000000000000002E-3</v>
      </c>
      <c r="E13">
        <v>687228061</v>
      </c>
      <c r="F13">
        <v>71132312</v>
      </c>
      <c r="G13" t="s">
        <v>87</v>
      </c>
      <c r="H13">
        <v>16180000</v>
      </c>
      <c r="I13">
        <f>Cleaned_Data[[#This Row],[Volume (24h) USD]]/Cleaned_Data[[#This Row],[Circulating_Supply($)]]</f>
        <v>4.3963110012360938</v>
      </c>
      <c r="J13">
        <f>RANK(Cleaned_Data[[#This Row],[Market Cap]],Cleaned_Data[Market Cap],0)</f>
        <v>17</v>
      </c>
      <c r="K13" t="str">
        <f t="shared" si="0"/>
        <v>10-100</v>
      </c>
      <c r="L13">
        <f>Cleaned_Data[[#This Row],[1h Change (%)]]*24</f>
        <v>0.192</v>
      </c>
      <c r="M13">
        <f>Cleaned_Data[[#This Row],[24h Change (%)]]*7</f>
        <v>1.3440000000000001</v>
      </c>
      <c r="N13" t="str" cm="1">
        <f t="array" ref="N13">_xlfn.IFS(Cleaned_Data[[#This Row],[Price (USD)]]&lt;0.05,"0 - 0.05",Cleaned_Data[[#This Row],[Price (USD)]]&lt;0.5,"0.05 - 0.5",Cleaned_Data[[#This Row],[Price (USD)]]&lt;5,"0.5 - 5",Cleaned_Data[[#This Row],[Price (USD)]]&lt;50,"5 - 50",Cleaned_Data[[#This Row],[Price (USD)]]&gt;=50,"&gt; 50")</f>
        <v>5 - 50</v>
      </c>
      <c r="O13">
        <f>(Cleaned_Data[[#This Row],[1h Change (%)]]+Cleaned_Data[[#This Row],[24h Change (%)]]+Cleaned_Data[[#This Row],[7d Change (%)]])/3</f>
        <v>0.51466666666666672</v>
      </c>
      <c r="P13">
        <f>Cleaned_Data[[#This Row],[Price (USD)]]/(1+Cleaned_Data[[#This Row],[1h Change (%)]]/100)</f>
        <v>42.446604271658266</v>
      </c>
      <c r="Q13">
        <f>Cleaned_Data[[#This Row],[Price (USD)]]/(1-Cleaned_Data[[#This Row],[24h Change (%)]]/100)</f>
        <v>42.531660788714333</v>
      </c>
      <c r="R13">
        <f>Cleaned_Data[[#This Row],[Price (USD)]]/(1+Cleaned_Data[[#This Row],[7d Change (%)]]/100)</f>
        <v>41.887038206504585</v>
      </c>
      <c r="S13">
        <f>Cleaned_Data[[#This Row],[Price (USD)]]-Cleaned_Data[[#This Row],[1-Hour Before Price]]</f>
        <v>3.3957283417365147E-3</v>
      </c>
    </row>
    <row r="14" spans="1:19" x14ac:dyDescent="0.3">
      <c r="A14" t="s">
        <v>88</v>
      </c>
      <c r="B14" t="s">
        <v>88</v>
      </c>
      <c r="C14">
        <v>9.1999999999999998E-3</v>
      </c>
      <c r="D14">
        <v>3.0000000000000001E-3</v>
      </c>
      <c r="E14">
        <v>683949558</v>
      </c>
      <c r="F14">
        <v>29038108</v>
      </c>
      <c r="G14" t="s">
        <v>93</v>
      </c>
      <c r="H14">
        <v>74480000000</v>
      </c>
      <c r="I14">
        <f>Cleaned_Data[[#This Row],[Volume (24h) USD]]/Cleaned_Data[[#This Row],[Circulating_Supply($)]]</f>
        <v>3.898779269602578E-4</v>
      </c>
      <c r="J14">
        <f>RANK(Cleaned_Data[[#This Row],[Market Cap]],Cleaned_Data[Market Cap],0)</f>
        <v>18</v>
      </c>
      <c r="K14" t="str">
        <f t="shared" si="0"/>
        <v>0-0.5</v>
      </c>
      <c r="L14">
        <f>Cleaned_Data[[#This Row],[1h Change (%)]]*24</f>
        <v>7.2000000000000008E-2</v>
      </c>
      <c r="M14">
        <f>Cleaned_Data[[#This Row],[24h Change (%)]]*7</f>
        <v>0.504</v>
      </c>
      <c r="N14" t="str" cm="1">
        <f t="array" ref="N14">_xlfn.IFS(Cleaned_Data[[#This Row],[Price (USD)]]&lt;0.05,"0 - 0.05",Cleaned_Data[[#This Row],[Price (USD)]]&lt;0.5,"0.05 - 0.5",Cleaned_Data[[#This Row],[Price (USD)]]&lt;5,"0.5 - 5",Cleaned_Data[[#This Row],[Price (USD)]]&lt;50,"5 - 50",Cleaned_Data[[#This Row],[Price (USD)]]&gt;=50,"&gt; 50")</f>
        <v>0 - 0.05</v>
      </c>
      <c r="O14">
        <f>(Cleaned_Data[[#This Row],[1h Change (%)]]+Cleaned_Data[[#This Row],[24h Change (%)]]+Cleaned_Data[[#This Row],[7d Change (%)]])/3</f>
        <v>0.19299999999999998</v>
      </c>
      <c r="P14">
        <f>Cleaned_Data[[#This Row],[Price (USD)]]/(1+Cleaned_Data[[#This Row],[1h Change (%)]]/100)</f>
        <v>9.1997240082797513E-3</v>
      </c>
      <c r="Q14">
        <f>Cleaned_Data[[#This Row],[Price (USD)]]/(1-Cleaned_Data[[#This Row],[24h Change (%)]]/100)</f>
        <v>9.2066287727163559E-3</v>
      </c>
      <c r="R14">
        <f>Cleaned_Data[[#This Row],[Price (USD)]]/(1+Cleaned_Data[[#This Row],[7d Change (%)]]/100)</f>
        <v>9.1538645228050625E-3</v>
      </c>
      <c r="S14">
        <f>Cleaned_Data[[#This Row],[Price (USD)]]-Cleaned_Data[[#This Row],[1-Hour Before Price]]</f>
        <v>2.7599172024855845E-7</v>
      </c>
    </row>
    <row r="15" spans="1:19" x14ac:dyDescent="0.3">
      <c r="A15" t="s">
        <v>94</v>
      </c>
      <c r="B15" t="s">
        <v>95</v>
      </c>
      <c r="C15">
        <v>0.1171</v>
      </c>
      <c r="D15">
        <v>5.1999999999999998E-3</v>
      </c>
      <c r="E15">
        <v>673440961</v>
      </c>
      <c r="F15">
        <v>24411942</v>
      </c>
      <c r="G15" t="s">
        <v>100</v>
      </c>
      <c r="H15">
        <v>5740000000</v>
      </c>
      <c r="I15">
        <f>Cleaned_Data[[#This Row],[Volume (24h) USD]]/Cleaned_Data[[#This Row],[Circulating_Supply($)]]</f>
        <v>4.2529515679442511E-3</v>
      </c>
      <c r="J15">
        <f>RANK(Cleaned_Data[[#This Row],[Market Cap]],Cleaned_Data[Market Cap],0)</f>
        <v>19</v>
      </c>
      <c r="K15" t="str">
        <f t="shared" si="0"/>
        <v>0-0.5</v>
      </c>
      <c r="L15">
        <f>Cleaned_Data[[#This Row],[1h Change (%)]]*24</f>
        <v>0.12479999999999999</v>
      </c>
      <c r="M15">
        <f>Cleaned_Data[[#This Row],[24h Change (%)]]*7</f>
        <v>0.87359999999999993</v>
      </c>
      <c r="N15" t="str" cm="1">
        <f t="array" ref="N15">_xlfn.IFS(Cleaned_Data[[#This Row],[Price (USD)]]&lt;0.05,"0 - 0.05",Cleaned_Data[[#This Row],[Price (USD)]]&lt;0.5,"0.05 - 0.5",Cleaned_Data[[#This Row],[Price (USD)]]&lt;5,"0.5 - 5",Cleaned_Data[[#This Row],[Price (USD)]]&lt;50,"5 - 50",Cleaned_Data[[#This Row],[Price (USD)]]&gt;=50,"&gt; 50")</f>
        <v>0.05 - 0.5</v>
      </c>
      <c r="O15">
        <f>(Cleaned_Data[[#This Row],[1h Change (%)]]+Cleaned_Data[[#This Row],[24h Change (%)]]+Cleaned_Data[[#This Row],[7d Change (%)]])/3</f>
        <v>0.33453333333333335</v>
      </c>
      <c r="P15">
        <f>Cleaned_Data[[#This Row],[Price (USD)]]/(1+Cleaned_Data[[#This Row],[1h Change (%)]]/100)</f>
        <v>0.11709391111662194</v>
      </c>
      <c r="Q15">
        <f>Cleaned_Data[[#This Row],[Price (USD)]]/(1-Cleaned_Data[[#This Row],[24h Change (%)]]/100)</f>
        <v>0.1172463234116177</v>
      </c>
      <c r="R15">
        <f>Cleaned_Data[[#This Row],[Price (USD)]]/(1+Cleaned_Data[[#This Row],[7d Change (%)]]/100)</f>
        <v>0.11608587380642704</v>
      </c>
      <c r="S15">
        <f>Cleaned_Data[[#This Row],[Price (USD)]]-Cleaned_Data[[#This Row],[1-Hour Before Price]]</f>
        <v>6.0888833780525786E-6</v>
      </c>
    </row>
    <row r="16" spans="1:19" x14ac:dyDescent="0.3">
      <c r="A16" t="s">
        <v>101</v>
      </c>
      <c r="B16" t="s">
        <v>102</v>
      </c>
      <c r="C16">
        <v>6.6699999999999995E-2</v>
      </c>
      <c r="D16">
        <v>5.9999999999999995E-4</v>
      </c>
      <c r="E16">
        <v>656968217</v>
      </c>
      <c r="F16">
        <v>29706225</v>
      </c>
      <c r="G16" t="s">
        <v>106</v>
      </c>
      <c r="H16">
        <v>986060000000000</v>
      </c>
      <c r="I16">
        <f>Cleaned_Data[[#This Row],[Volume (24h) USD]]/Cleaned_Data[[#This Row],[Circulating_Supply($)]]</f>
        <v>3.0126184005030119E-8</v>
      </c>
      <c r="J16">
        <f>RANK(Cleaned_Data[[#This Row],[Market Cap]],Cleaned_Data[Market Cap],0)</f>
        <v>20</v>
      </c>
      <c r="K16" t="str">
        <f t="shared" si="0"/>
        <v>0-0.5</v>
      </c>
      <c r="L16">
        <f>Cleaned_Data[[#This Row],[1h Change (%)]]*24</f>
        <v>1.44E-2</v>
      </c>
      <c r="M16">
        <f>Cleaned_Data[[#This Row],[24h Change (%)]]*7</f>
        <v>0.1008</v>
      </c>
      <c r="N16" t="str" cm="1">
        <f t="array" ref="N16">_xlfn.IFS(Cleaned_Data[[#This Row],[Price (USD)]]&lt;0.05,"0 - 0.05",Cleaned_Data[[#This Row],[Price (USD)]]&lt;0.5,"0.05 - 0.5",Cleaned_Data[[#This Row],[Price (USD)]]&lt;5,"0.5 - 5",Cleaned_Data[[#This Row],[Price (USD)]]&lt;50,"5 - 50",Cleaned_Data[[#This Row],[Price (USD)]]&gt;=50,"&gt; 50")</f>
        <v>0.05 - 0.5</v>
      </c>
      <c r="O16">
        <f>(Cleaned_Data[[#This Row],[1h Change (%)]]+Cleaned_Data[[#This Row],[24h Change (%)]]+Cleaned_Data[[#This Row],[7d Change (%)]])/3</f>
        <v>3.8600000000000002E-2</v>
      </c>
      <c r="P16">
        <f>Cleaned_Data[[#This Row],[Price (USD)]]/(1+Cleaned_Data[[#This Row],[1h Change (%)]]/100)</f>
        <v>6.6699599802401185E-2</v>
      </c>
      <c r="Q16">
        <f>Cleaned_Data[[#This Row],[Price (USD)]]/(1-Cleaned_Data[[#This Row],[24h Change (%)]]/100)</f>
        <v>6.6709606183290387E-2</v>
      </c>
      <c r="R16">
        <f>Cleaned_Data[[#This Row],[Price (USD)]]/(1+Cleaned_Data[[#This Row],[7d Change (%)]]/100)</f>
        <v>6.6632834103223959E-2</v>
      </c>
      <c r="S16">
        <f>Cleaned_Data[[#This Row],[Price (USD)]]-Cleaned_Data[[#This Row],[1-Hour Before Price]]</f>
        <v>4.0019759880993711E-7</v>
      </c>
    </row>
    <row r="17" spans="1:19" x14ac:dyDescent="0.3">
      <c r="A17" t="s">
        <v>107</v>
      </c>
      <c r="B17" t="s">
        <v>108</v>
      </c>
      <c r="C17">
        <v>0.39090000000000003</v>
      </c>
      <c r="D17">
        <v>1.5E-3</v>
      </c>
      <c r="E17">
        <v>626962319</v>
      </c>
      <c r="F17">
        <v>21684159</v>
      </c>
      <c r="G17" t="s">
        <v>113</v>
      </c>
      <c r="H17">
        <v>1600000000</v>
      </c>
      <c r="I17">
        <f>Cleaned_Data[[#This Row],[Volume (24h) USD]]/Cleaned_Data[[#This Row],[Circulating_Supply($)]]</f>
        <v>1.3552599375E-2</v>
      </c>
      <c r="J17">
        <f>RANK(Cleaned_Data[[#This Row],[Market Cap]],Cleaned_Data[Market Cap],0)</f>
        <v>22</v>
      </c>
      <c r="K17" t="str">
        <f t="shared" si="0"/>
        <v>0-0.5</v>
      </c>
      <c r="L17">
        <f>Cleaned_Data[[#This Row],[1h Change (%)]]*24</f>
        <v>3.6000000000000004E-2</v>
      </c>
      <c r="M17">
        <f>Cleaned_Data[[#This Row],[24h Change (%)]]*7</f>
        <v>0.252</v>
      </c>
      <c r="N17" t="str" cm="1">
        <f t="array" ref="N17">_xlfn.IFS(Cleaned_Data[[#This Row],[Price (USD)]]&lt;0.05,"0 - 0.05",Cleaned_Data[[#This Row],[Price (USD)]]&lt;0.5,"0.05 - 0.5",Cleaned_Data[[#This Row],[Price (USD)]]&lt;5,"0.5 - 5",Cleaned_Data[[#This Row],[Price (USD)]]&lt;50,"5 - 50",Cleaned_Data[[#This Row],[Price (USD)]]&gt;=50,"&gt; 50")</f>
        <v>0.05 - 0.5</v>
      </c>
      <c r="O17">
        <f>(Cleaned_Data[[#This Row],[1h Change (%)]]+Cleaned_Data[[#This Row],[24h Change (%)]]+Cleaned_Data[[#This Row],[7d Change (%)]])/3</f>
        <v>9.6499999999999989E-2</v>
      </c>
      <c r="P17">
        <f>Cleaned_Data[[#This Row],[Price (USD)]]/(1+Cleaned_Data[[#This Row],[1h Change (%)]]/100)</f>
        <v>0.39089413658795119</v>
      </c>
      <c r="Q17">
        <f>Cleaned_Data[[#This Row],[Price (USD)]]/(1-Cleaned_Data[[#This Row],[24h Change (%)]]/100)</f>
        <v>0.39104077467888443</v>
      </c>
      <c r="R17">
        <f>Cleaned_Data[[#This Row],[Price (USD)]]/(1+Cleaned_Data[[#This Row],[7d Change (%)]]/100)</f>
        <v>0.3899174081315086</v>
      </c>
      <c r="S17">
        <f>Cleaned_Data[[#This Row],[Price (USD)]]-Cleaned_Data[[#This Row],[1-Hour Before Price]]</f>
        <v>5.8634120488343378E-6</v>
      </c>
    </row>
    <row r="18" spans="1:19" x14ac:dyDescent="0.3">
      <c r="A18" t="s">
        <v>114</v>
      </c>
      <c r="B18" t="s">
        <v>115</v>
      </c>
      <c r="C18">
        <v>7.42</v>
      </c>
      <c r="D18">
        <v>3.0000000000000001E-3</v>
      </c>
      <c r="E18">
        <v>621864440</v>
      </c>
      <c r="F18">
        <v>7491105</v>
      </c>
      <c r="G18" t="s">
        <v>119</v>
      </c>
      <c r="H18">
        <v>83730000</v>
      </c>
      <c r="I18">
        <f>Cleaned_Data[[#This Row],[Volume (24h) USD]]/Cleaned_Data[[#This Row],[Circulating_Supply($)]]</f>
        <v>8.9467395198853453E-2</v>
      </c>
      <c r="J18">
        <f>RANK(Cleaned_Data[[#This Row],[Market Cap]],Cleaned_Data[Market Cap],0)</f>
        <v>23</v>
      </c>
      <c r="K18" t="str">
        <f t="shared" si="0"/>
        <v>2-10</v>
      </c>
      <c r="L18">
        <f>Cleaned_Data[[#This Row],[1h Change (%)]]*24</f>
        <v>7.2000000000000008E-2</v>
      </c>
      <c r="M18">
        <f>Cleaned_Data[[#This Row],[24h Change (%)]]*7</f>
        <v>0.504</v>
      </c>
      <c r="N18" t="str" cm="1">
        <f t="array" ref="N18">_xlfn.IFS(Cleaned_Data[[#This Row],[Price (USD)]]&lt;0.05,"0 - 0.05",Cleaned_Data[[#This Row],[Price (USD)]]&lt;0.5,"0.05 - 0.5",Cleaned_Data[[#This Row],[Price (USD)]]&lt;5,"0.5 - 5",Cleaned_Data[[#This Row],[Price (USD)]]&lt;50,"5 - 50",Cleaned_Data[[#This Row],[Price (USD)]]&gt;=50,"&gt; 50")</f>
        <v>5 - 50</v>
      </c>
      <c r="O18">
        <f>(Cleaned_Data[[#This Row],[1h Change (%)]]+Cleaned_Data[[#This Row],[24h Change (%)]]+Cleaned_Data[[#This Row],[7d Change (%)]])/3</f>
        <v>0.19299999999999998</v>
      </c>
      <c r="P18">
        <f>Cleaned_Data[[#This Row],[Price (USD)]]/(1+Cleaned_Data[[#This Row],[1h Change (%)]]/100)</f>
        <v>7.4197774066777997</v>
      </c>
      <c r="Q18">
        <f>Cleaned_Data[[#This Row],[Price (USD)]]/(1-Cleaned_Data[[#This Row],[24h Change (%)]]/100)</f>
        <v>7.4253462492994959</v>
      </c>
      <c r="R18">
        <f>Cleaned_Data[[#This Row],[Price (USD)]]/(1+Cleaned_Data[[#This Row],[7d Change (%)]]/100)</f>
        <v>7.3827907346971271</v>
      </c>
      <c r="S18">
        <f>Cleaned_Data[[#This Row],[Price (USD)]]-Cleaned_Data[[#This Row],[1-Hour Before Price]]</f>
        <v>2.2259332220020411E-4</v>
      </c>
    </row>
    <row r="19" spans="1:19" x14ac:dyDescent="0.3">
      <c r="A19" t="s">
        <v>120</v>
      </c>
      <c r="B19" t="s">
        <v>121</v>
      </c>
      <c r="C19">
        <v>0.57740000000000002</v>
      </c>
      <c r="D19">
        <v>1.1000000000000001E-3</v>
      </c>
      <c r="E19">
        <v>577405381</v>
      </c>
      <c r="F19">
        <v>23722335</v>
      </c>
      <c r="G19" t="s">
        <v>126</v>
      </c>
      <c r="H19">
        <v>1000000000</v>
      </c>
      <c r="I19">
        <f>Cleaned_Data[[#This Row],[Volume (24h) USD]]/Cleaned_Data[[#This Row],[Circulating_Supply($)]]</f>
        <v>2.3722335000000001E-2</v>
      </c>
      <c r="J19">
        <f>RANK(Cleaned_Data[[#This Row],[Market Cap]],Cleaned_Data[Market Cap],0)</f>
        <v>25</v>
      </c>
      <c r="K19" t="str">
        <f t="shared" si="0"/>
        <v>0.5-1</v>
      </c>
      <c r="L19">
        <f>Cleaned_Data[[#This Row],[1h Change (%)]]*24</f>
        <v>2.64E-2</v>
      </c>
      <c r="M19">
        <f>Cleaned_Data[[#This Row],[24h Change (%)]]*7</f>
        <v>0.18479999999999999</v>
      </c>
      <c r="N19" t="str" cm="1">
        <f t="array" ref="N19">_xlfn.IFS(Cleaned_Data[[#This Row],[Price (USD)]]&lt;0.05,"0 - 0.05",Cleaned_Data[[#This Row],[Price (USD)]]&lt;0.5,"0.05 - 0.5",Cleaned_Data[[#This Row],[Price (USD)]]&lt;5,"0.5 - 5",Cleaned_Data[[#This Row],[Price (USD)]]&lt;50,"5 - 50",Cleaned_Data[[#This Row],[Price (USD)]]&gt;=50,"&gt; 50")</f>
        <v>0.5 - 5</v>
      </c>
      <c r="O19">
        <f>(Cleaned_Data[[#This Row],[1h Change (%)]]+Cleaned_Data[[#This Row],[24h Change (%)]]+Cleaned_Data[[#This Row],[7d Change (%)]])/3</f>
        <v>7.0766666666666658E-2</v>
      </c>
      <c r="P19">
        <f>Cleaned_Data[[#This Row],[Price (USD)]]/(1+Cleaned_Data[[#This Row],[1h Change (%)]]/100)</f>
        <v>0.57739364866986465</v>
      </c>
      <c r="Q19">
        <f>Cleaned_Data[[#This Row],[Price (USD)]]/(1-Cleaned_Data[[#This Row],[24h Change (%)]]/100)</f>
        <v>0.57755247385309727</v>
      </c>
      <c r="R19">
        <f>Cleaned_Data[[#This Row],[Price (USD)]]/(1+Cleaned_Data[[#This Row],[7d Change (%)]]/100)</f>
        <v>0.57633493304373518</v>
      </c>
      <c r="S19">
        <f>Cleaned_Data[[#This Row],[Price (USD)]]-Cleaned_Data[[#This Row],[1-Hour Before Price]]</f>
        <v>6.3513301353790297E-6</v>
      </c>
    </row>
    <row r="20" spans="1:19" x14ac:dyDescent="0.3">
      <c r="A20" t="s">
        <v>127</v>
      </c>
      <c r="B20" t="s">
        <v>128</v>
      </c>
      <c r="C20">
        <v>0.40489999999999998</v>
      </c>
      <c r="D20">
        <v>3.3E-3</v>
      </c>
      <c r="E20">
        <v>572387192</v>
      </c>
      <c r="F20">
        <v>19083906</v>
      </c>
      <c r="G20" t="s">
        <v>133</v>
      </c>
      <c r="H20">
        <v>1410000000</v>
      </c>
      <c r="I20">
        <f>Cleaned_Data[[#This Row],[Volume (24h) USD]]/Cleaned_Data[[#This Row],[Circulating_Supply($)]]</f>
        <v>1.3534685106382978E-2</v>
      </c>
      <c r="J20">
        <f>RANK(Cleaned_Data[[#This Row],[Market Cap]],Cleaned_Data[Market Cap],0)</f>
        <v>26</v>
      </c>
      <c r="K20" t="str">
        <f t="shared" si="0"/>
        <v>0-0.5</v>
      </c>
      <c r="L20">
        <f>Cleaned_Data[[#This Row],[1h Change (%)]]*24</f>
        <v>7.9199999999999993E-2</v>
      </c>
      <c r="M20">
        <f>Cleaned_Data[[#This Row],[24h Change (%)]]*7</f>
        <v>0.5544</v>
      </c>
      <c r="N20" t="str" cm="1">
        <f t="array" ref="N20">_xlfn.IFS(Cleaned_Data[[#This Row],[Price (USD)]]&lt;0.05,"0 - 0.05",Cleaned_Data[[#This Row],[Price (USD)]]&lt;0.5,"0.05 - 0.5",Cleaned_Data[[#This Row],[Price (USD)]]&lt;5,"0.5 - 5",Cleaned_Data[[#This Row],[Price (USD)]]&lt;50,"5 - 50",Cleaned_Data[[#This Row],[Price (USD)]]&gt;=50,"&gt; 50")</f>
        <v>0.05 - 0.5</v>
      </c>
      <c r="O20">
        <f>(Cleaned_Data[[#This Row],[1h Change (%)]]+Cleaned_Data[[#This Row],[24h Change (%)]]+Cleaned_Data[[#This Row],[7d Change (%)]])/3</f>
        <v>0.21230000000000002</v>
      </c>
      <c r="P20">
        <f>Cleaned_Data[[#This Row],[Price (USD)]]/(1+Cleaned_Data[[#This Row],[1h Change (%)]]/100)</f>
        <v>0.40488663874092157</v>
      </c>
      <c r="Q20">
        <f>Cleaned_Data[[#This Row],[Price (USD)]]/(1-Cleaned_Data[[#This Row],[24h Change (%)]]/100)</f>
        <v>0.40522093498050454</v>
      </c>
      <c r="R20">
        <f>Cleaned_Data[[#This Row],[Price (USD)]]/(1+Cleaned_Data[[#This Row],[7d Change (%)]]/100)</f>
        <v>0.40266761076591379</v>
      </c>
      <c r="S20">
        <f>Cleaned_Data[[#This Row],[Price (USD)]]-Cleaned_Data[[#This Row],[1-Hour Before Price]]</f>
        <v>1.33612590784149E-5</v>
      </c>
    </row>
    <row r="21" spans="1:19" x14ac:dyDescent="0.3">
      <c r="A21" t="s">
        <v>134</v>
      </c>
      <c r="B21" t="s">
        <v>135</v>
      </c>
      <c r="C21">
        <v>0.28820000000000001</v>
      </c>
      <c r="D21">
        <v>3.8999999999999998E-3</v>
      </c>
      <c r="E21">
        <v>567782071</v>
      </c>
      <c r="F21">
        <v>27296450</v>
      </c>
      <c r="G21" t="s">
        <v>140</v>
      </c>
      <c r="H21">
        <v>1960000000</v>
      </c>
      <c r="I21">
        <f>Cleaned_Data[[#This Row],[Volume (24h) USD]]/Cleaned_Data[[#This Row],[Circulating_Supply($)]]</f>
        <v>1.3926760204081633E-2</v>
      </c>
      <c r="J21">
        <f>RANK(Cleaned_Data[[#This Row],[Market Cap]],Cleaned_Data[Market Cap],0)</f>
        <v>27</v>
      </c>
      <c r="K21" t="str">
        <f t="shared" si="0"/>
        <v>0-0.5</v>
      </c>
      <c r="L21">
        <f>Cleaned_Data[[#This Row],[1h Change (%)]]*24</f>
        <v>9.3599999999999989E-2</v>
      </c>
      <c r="M21">
        <f>Cleaned_Data[[#This Row],[24h Change (%)]]*7</f>
        <v>0.65519999999999989</v>
      </c>
      <c r="N21" t="str" cm="1">
        <f t="array" ref="N21">_xlfn.IFS(Cleaned_Data[[#This Row],[Price (USD)]]&lt;0.05,"0 - 0.05",Cleaned_Data[[#This Row],[Price (USD)]]&lt;0.5,"0.05 - 0.5",Cleaned_Data[[#This Row],[Price (USD)]]&lt;5,"0.5 - 5",Cleaned_Data[[#This Row],[Price (USD)]]&lt;50,"5 - 50",Cleaned_Data[[#This Row],[Price (USD)]]&gt;=50,"&gt; 50")</f>
        <v>0.05 - 0.5</v>
      </c>
      <c r="O21">
        <f>(Cleaned_Data[[#This Row],[1h Change (%)]]+Cleaned_Data[[#This Row],[24h Change (%)]]+Cleaned_Data[[#This Row],[7d Change (%)]])/3</f>
        <v>0.25089999999999996</v>
      </c>
      <c r="P21">
        <f>Cleaned_Data[[#This Row],[Price (USD)]]/(1+Cleaned_Data[[#This Row],[1h Change (%)]]/100)</f>
        <v>0.28818876063833515</v>
      </c>
      <c r="Q21">
        <f>Cleaned_Data[[#This Row],[Price (USD)]]/(1-Cleaned_Data[[#This Row],[24h Change (%)]]/100)</f>
        <v>0.28847000792742011</v>
      </c>
      <c r="R21">
        <f>Cleaned_Data[[#This Row],[Price (USD)]]/(1+Cleaned_Data[[#This Row],[7d Change (%)]]/100)</f>
        <v>0.28632400511846384</v>
      </c>
      <c r="S21">
        <f>Cleaned_Data[[#This Row],[Price (USD)]]-Cleaned_Data[[#This Row],[1-Hour Before Price]]</f>
        <v>1.1239361664860947E-5</v>
      </c>
    </row>
    <row r="22" spans="1:19" x14ac:dyDescent="0.3">
      <c r="A22" t="s">
        <v>141</v>
      </c>
      <c r="B22" t="s">
        <v>142</v>
      </c>
      <c r="C22">
        <v>4.54</v>
      </c>
      <c r="D22">
        <v>4.0000000000000002E-4</v>
      </c>
      <c r="E22">
        <v>1982420729</v>
      </c>
      <c r="F22">
        <v>64466358</v>
      </c>
      <c r="G22" t="s">
        <v>147</v>
      </c>
      <c r="H22">
        <v>436260000</v>
      </c>
      <c r="I22">
        <f>Cleaned_Data[[#This Row],[Volume (24h) USD]]/Cleaned_Data[[#This Row],[Circulating_Supply($)]]</f>
        <v>0.14777049924357036</v>
      </c>
      <c r="J22">
        <f>RANK(Cleaned_Data[[#This Row],[Market Cap]],Cleaned_Data[Market Cap],0)</f>
        <v>11</v>
      </c>
      <c r="K22" t="str">
        <f t="shared" si="0"/>
        <v>2-10</v>
      </c>
      <c r="L22">
        <f>Cleaned_Data[[#This Row],[1h Change (%)]]*24</f>
        <v>9.6000000000000009E-3</v>
      </c>
      <c r="M22">
        <f>Cleaned_Data[[#This Row],[24h Change (%)]]*7</f>
        <v>6.720000000000001E-2</v>
      </c>
      <c r="N22" t="str" cm="1">
        <f t="array" ref="N22">_xlfn.IFS(Cleaned_Data[[#This Row],[Price (USD)]]&lt;0.05,"0 - 0.05",Cleaned_Data[[#This Row],[Price (USD)]]&lt;0.5,"0.05 - 0.5",Cleaned_Data[[#This Row],[Price (USD)]]&lt;5,"0.5 - 5",Cleaned_Data[[#This Row],[Price (USD)]]&lt;50,"5 - 50",Cleaned_Data[[#This Row],[Price (USD)]]&gt;=50,"&gt; 50")</f>
        <v>0.5 - 5</v>
      </c>
      <c r="O22">
        <f>(Cleaned_Data[[#This Row],[1h Change (%)]]+Cleaned_Data[[#This Row],[24h Change (%)]]+Cleaned_Data[[#This Row],[7d Change (%)]])/3</f>
        <v>2.5733333333333334E-2</v>
      </c>
      <c r="P22">
        <f>Cleaned_Data[[#This Row],[Price (USD)]]/(1+Cleaned_Data[[#This Row],[1h Change (%)]]/100)</f>
        <v>4.5399818400726399</v>
      </c>
      <c r="Q22">
        <f>Cleaned_Data[[#This Row],[Price (USD)]]/(1-Cleaned_Data[[#This Row],[24h Change (%)]]/100)</f>
        <v>4.5404358818446573</v>
      </c>
      <c r="R22">
        <f>Cleaned_Data[[#This Row],[Price (USD)]]/(1+Cleaned_Data[[#This Row],[7d Change (%)]]/100)</f>
        <v>4.5369511688145563</v>
      </c>
      <c r="S22">
        <f>Cleaned_Data[[#This Row],[Price (USD)]]-Cleaned_Data[[#This Row],[1-Hour Before Price]]</f>
        <v>1.8159927360095196E-5</v>
      </c>
    </row>
    <row r="23" spans="1:19" x14ac:dyDescent="0.3">
      <c r="A23" t="s">
        <v>148</v>
      </c>
      <c r="B23" t="s">
        <v>149</v>
      </c>
      <c r="C23">
        <v>5.48</v>
      </c>
      <c r="D23">
        <v>4.7000000000000002E-3</v>
      </c>
      <c r="E23">
        <v>1955931785</v>
      </c>
      <c r="F23">
        <v>26985300</v>
      </c>
      <c r="G23" t="s">
        <v>154</v>
      </c>
      <c r="H23">
        <v>356550000</v>
      </c>
      <c r="I23">
        <f>Cleaned_Data[[#This Row],[Volume (24h) USD]]/Cleaned_Data[[#This Row],[Circulating_Supply($)]]</f>
        <v>7.5684476230542697E-2</v>
      </c>
      <c r="J23">
        <f>RANK(Cleaned_Data[[#This Row],[Market Cap]],Cleaned_Data[Market Cap],0)</f>
        <v>12</v>
      </c>
      <c r="K23" t="str">
        <f t="shared" si="0"/>
        <v>2-10</v>
      </c>
      <c r="L23">
        <f>Cleaned_Data[[#This Row],[1h Change (%)]]*24</f>
        <v>0.11280000000000001</v>
      </c>
      <c r="M23">
        <f>Cleaned_Data[[#This Row],[24h Change (%)]]*7</f>
        <v>0.78960000000000008</v>
      </c>
      <c r="N23" t="str" cm="1">
        <f t="array" ref="N23">_xlfn.IFS(Cleaned_Data[[#This Row],[Price (USD)]]&lt;0.05,"0 - 0.05",Cleaned_Data[[#This Row],[Price (USD)]]&lt;0.5,"0.05 - 0.5",Cleaned_Data[[#This Row],[Price (USD)]]&lt;5,"0.5 - 5",Cleaned_Data[[#This Row],[Price (USD)]]&lt;50,"5 - 50",Cleaned_Data[[#This Row],[Price (USD)]]&gt;=50,"&gt; 50")</f>
        <v>5 - 50</v>
      </c>
      <c r="O23">
        <f>(Cleaned_Data[[#This Row],[1h Change (%)]]+Cleaned_Data[[#This Row],[24h Change (%)]]+Cleaned_Data[[#This Row],[7d Change (%)]])/3</f>
        <v>0.30236666666666673</v>
      </c>
      <c r="P23">
        <f>Cleaned_Data[[#This Row],[Price (USD)]]/(1+Cleaned_Data[[#This Row],[1h Change (%)]]/100)</f>
        <v>5.4797424521047517</v>
      </c>
      <c r="Q23">
        <f>Cleaned_Data[[#This Row],[Price (USD)]]/(1-Cleaned_Data[[#This Row],[24h Change (%)]]/100)</f>
        <v>5.486188420538368</v>
      </c>
      <c r="R23">
        <f>Cleaned_Data[[#This Row],[Price (USD)]]/(1+Cleaned_Data[[#This Row],[7d Change (%)]]/100)</f>
        <v>5.4370689039345335</v>
      </c>
      <c r="S23">
        <f>Cleaned_Data[[#This Row],[Price (USD)]]-Cleaned_Data[[#This Row],[1-Hour Before Price]]</f>
        <v>2.5754789524867761E-4</v>
      </c>
    </row>
    <row r="24" spans="1:19" x14ac:dyDescent="0.3">
      <c r="A24" t="s">
        <v>155</v>
      </c>
      <c r="B24" t="s">
        <v>156</v>
      </c>
      <c r="C24">
        <v>1</v>
      </c>
      <c r="D24">
        <v>2.0000000000000001E-4</v>
      </c>
      <c r="E24">
        <v>1253095193</v>
      </c>
      <c r="F24">
        <v>30789467</v>
      </c>
      <c r="G24" t="s">
        <v>160</v>
      </c>
      <c r="H24">
        <v>1250000000</v>
      </c>
      <c r="I24">
        <f>Cleaned_Data[[#This Row],[Volume (24h) USD]]/Cleaned_Data[[#This Row],[Circulating_Supply($)]]</f>
        <v>2.4631573600000001E-2</v>
      </c>
      <c r="J24">
        <f>RANK(Cleaned_Data[[#This Row],[Market Cap]],Cleaned_Data[Market Cap],0)</f>
        <v>13</v>
      </c>
      <c r="K24" t="str">
        <f t="shared" si="0"/>
        <v>0.5-1</v>
      </c>
      <c r="L24">
        <f>Cleaned_Data[[#This Row],[1h Change (%)]]*24</f>
        <v>4.8000000000000004E-3</v>
      </c>
      <c r="M24">
        <f>Cleaned_Data[[#This Row],[24h Change (%)]]*7</f>
        <v>3.3600000000000005E-2</v>
      </c>
      <c r="N24" t="str" cm="1">
        <f t="array" ref="N24">_xlfn.IFS(Cleaned_Data[[#This Row],[Price (USD)]]&lt;0.05,"0 - 0.05",Cleaned_Data[[#This Row],[Price (USD)]]&lt;0.5,"0.05 - 0.5",Cleaned_Data[[#This Row],[Price (USD)]]&lt;5,"0.5 - 5",Cleaned_Data[[#This Row],[Price (USD)]]&lt;50,"5 - 50",Cleaned_Data[[#This Row],[Price (USD)]]&gt;=50,"&gt; 50")</f>
        <v>0.5 - 5</v>
      </c>
      <c r="O24">
        <f>(Cleaned_Data[[#This Row],[1h Change (%)]]+Cleaned_Data[[#This Row],[24h Change (%)]]+Cleaned_Data[[#This Row],[7d Change (%)]])/3</f>
        <v>1.2866666666666667E-2</v>
      </c>
      <c r="P24">
        <f>Cleaned_Data[[#This Row],[Price (USD)]]/(1+Cleaned_Data[[#This Row],[1h Change (%)]]/100)</f>
        <v>0.99999800000399997</v>
      </c>
      <c r="Q24">
        <f>Cleaned_Data[[#This Row],[Price (USD)]]/(1-Cleaned_Data[[#This Row],[24h Change (%)]]/100)</f>
        <v>1.0000480023041107</v>
      </c>
      <c r="R24">
        <f>Cleaned_Data[[#This Row],[Price (USD)]]/(1+Cleaned_Data[[#This Row],[7d Change (%)]]/100)</f>
        <v>0.99966411285807977</v>
      </c>
      <c r="S24">
        <f>Cleaned_Data[[#This Row],[Price (USD)]]-Cleaned_Data[[#This Row],[1-Hour Before Price]]</f>
        <v>1.9999960000349759E-6</v>
      </c>
    </row>
    <row r="25" spans="1:19" x14ac:dyDescent="0.3">
      <c r="A25" t="s">
        <v>161</v>
      </c>
      <c r="B25" t="s">
        <v>162</v>
      </c>
      <c r="C25">
        <v>2.4E-2</v>
      </c>
      <c r="D25">
        <v>2.2000000000000001E-3</v>
      </c>
      <c r="E25">
        <v>738956737</v>
      </c>
      <c r="F25">
        <v>8289454</v>
      </c>
      <c r="G25" t="s">
        <v>167</v>
      </c>
      <c r="H25">
        <v>30840000000</v>
      </c>
      <c r="I25">
        <f>Cleaned_Data[[#This Row],[Volume (24h) USD]]/Cleaned_Data[[#This Row],[Circulating_Supply($)]]</f>
        <v>2.6878904020752271E-4</v>
      </c>
      <c r="J25">
        <f>RANK(Cleaned_Data[[#This Row],[Market Cap]],Cleaned_Data[Market Cap],0)</f>
        <v>14</v>
      </c>
      <c r="K25" t="str">
        <f t="shared" si="0"/>
        <v>0-0.5</v>
      </c>
      <c r="L25">
        <f>Cleaned_Data[[#This Row],[1h Change (%)]]*24</f>
        <v>5.28E-2</v>
      </c>
      <c r="M25">
        <f>Cleaned_Data[[#This Row],[24h Change (%)]]*7</f>
        <v>0.36959999999999998</v>
      </c>
      <c r="N25" t="str" cm="1">
        <f t="array" ref="N25">_xlfn.IFS(Cleaned_Data[[#This Row],[Price (USD)]]&lt;0.05,"0 - 0.05",Cleaned_Data[[#This Row],[Price (USD)]]&lt;0.5,"0.05 - 0.5",Cleaned_Data[[#This Row],[Price (USD)]]&lt;5,"0.5 - 5",Cleaned_Data[[#This Row],[Price (USD)]]&lt;50,"5 - 50",Cleaned_Data[[#This Row],[Price (USD)]]&gt;=50,"&gt; 50")</f>
        <v>0 - 0.05</v>
      </c>
      <c r="O25">
        <f>(Cleaned_Data[[#This Row],[1h Change (%)]]+Cleaned_Data[[#This Row],[24h Change (%)]]+Cleaned_Data[[#This Row],[7d Change (%)]])/3</f>
        <v>0.14153333333333332</v>
      </c>
      <c r="P25">
        <f>Cleaned_Data[[#This Row],[Price (USD)]]/(1+Cleaned_Data[[#This Row],[1h Change (%)]]/100)</f>
        <v>2.3999472011615747E-2</v>
      </c>
      <c r="Q25">
        <f>Cleaned_Data[[#This Row],[Price (USD)]]/(1-Cleaned_Data[[#This Row],[24h Change (%)]]/100)</f>
        <v>2.4012678694350618E-2</v>
      </c>
      <c r="R25">
        <f>Cleaned_Data[[#This Row],[Price (USD)]]/(1+Cleaned_Data[[#This Row],[7d Change (%)]]/100)</f>
        <v>2.3911622642712536E-2</v>
      </c>
      <c r="S25">
        <f>Cleaned_Data[[#This Row],[Price (USD)]]-Cleaned_Data[[#This Row],[1-Hour Before Price]]</f>
        <v>5.2798838425308081E-7</v>
      </c>
    </row>
    <row r="26" spans="1:19" x14ac:dyDescent="0.3">
      <c r="A26" t="s">
        <v>168</v>
      </c>
      <c r="B26" t="s">
        <v>169</v>
      </c>
      <c r="C26">
        <v>1.1000000000000001</v>
      </c>
      <c r="D26">
        <v>1.1000000000000001E-3</v>
      </c>
      <c r="E26">
        <v>691597867</v>
      </c>
      <c r="F26">
        <v>1338625</v>
      </c>
      <c r="G26" t="s">
        <v>173</v>
      </c>
      <c r="H26">
        <v>626670000</v>
      </c>
      <c r="I26">
        <f>Cleaned_Data[[#This Row],[Volume (24h) USD]]/Cleaned_Data[[#This Row],[Circulating_Supply($)]]</f>
        <v>2.1360923612108447E-3</v>
      </c>
      <c r="J26">
        <f>RANK(Cleaned_Data[[#This Row],[Market Cap]],Cleaned_Data[Market Cap],0)</f>
        <v>15</v>
      </c>
      <c r="K26" t="str">
        <f t="shared" si="0"/>
        <v>1-2</v>
      </c>
      <c r="L26">
        <f>Cleaned_Data[[#This Row],[1h Change (%)]]*24</f>
        <v>2.64E-2</v>
      </c>
      <c r="M26">
        <f>Cleaned_Data[[#This Row],[24h Change (%)]]*7</f>
        <v>0.18479999999999999</v>
      </c>
      <c r="N26" t="str" cm="1">
        <f t="array" ref="N26">_xlfn.IFS(Cleaned_Data[[#This Row],[Price (USD)]]&lt;0.05,"0 - 0.05",Cleaned_Data[[#This Row],[Price (USD)]]&lt;0.5,"0.05 - 0.5",Cleaned_Data[[#This Row],[Price (USD)]]&lt;5,"0.5 - 5",Cleaned_Data[[#This Row],[Price (USD)]]&lt;50,"5 - 50",Cleaned_Data[[#This Row],[Price (USD)]]&gt;=50,"&gt; 50")</f>
        <v>0.5 - 5</v>
      </c>
      <c r="O26">
        <f>(Cleaned_Data[[#This Row],[1h Change (%)]]+Cleaned_Data[[#This Row],[24h Change (%)]]+Cleaned_Data[[#This Row],[7d Change (%)]])/3</f>
        <v>7.0766666666666658E-2</v>
      </c>
      <c r="P26">
        <f>Cleaned_Data[[#This Row],[Price (USD)]]/(1+Cleaned_Data[[#This Row],[1h Change (%)]]/100)</f>
        <v>1.0999879001330986</v>
      </c>
      <c r="Q26">
        <f>Cleaned_Data[[#This Row],[Price (USD)]]/(1-Cleaned_Data[[#This Row],[24h Change (%)]]/100)</f>
        <v>1.1002904766858452</v>
      </c>
      <c r="R26">
        <f>Cleaned_Data[[#This Row],[Price (USD)]]/(1+Cleaned_Data[[#This Row],[7d Change (%)]]/100)</f>
        <v>1.0979709496849821</v>
      </c>
      <c r="S26">
        <f>Cleaned_Data[[#This Row],[Price (USD)]]-Cleaned_Data[[#This Row],[1-Hour Before Price]]</f>
        <v>1.2099866901538192E-5</v>
      </c>
    </row>
    <row r="27" spans="1:19" x14ac:dyDescent="0.3">
      <c r="A27" t="s">
        <v>174</v>
      </c>
      <c r="B27" t="s">
        <v>175</v>
      </c>
      <c r="C27">
        <v>0.99829999999999997</v>
      </c>
      <c r="D27">
        <v>0</v>
      </c>
      <c r="E27">
        <v>642088143</v>
      </c>
      <c r="F27">
        <v>4463129</v>
      </c>
      <c r="G27" t="s">
        <v>180</v>
      </c>
      <c r="H27">
        <v>643120000</v>
      </c>
      <c r="I27">
        <f>Cleaned_Data[[#This Row],[Volume (24h) USD]]/Cleaned_Data[[#This Row],[Circulating_Supply($)]]</f>
        <v>6.9398075009329515E-3</v>
      </c>
      <c r="J27">
        <f>RANK(Cleaned_Data[[#This Row],[Market Cap]],Cleaned_Data[Market Cap],0)</f>
        <v>21</v>
      </c>
      <c r="K27" t="str">
        <f t="shared" si="0"/>
        <v>0.5-1</v>
      </c>
      <c r="L27">
        <f>Cleaned_Data[[#This Row],[1h Change (%)]]*24</f>
        <v>0</v>
      </c>
      <c r="M27">
        <f>Cleaned_Data[[#This Row],[24h Change (%)]]*7</f>
        <v>0</v>
      </c>
      <c r="N27" t="str" cm="1">
        <f t="array" ref="N27">_xlfn.IFS(Cleaned_Data[[#This Row],[Price (USD)]]&lt;0.05,"0 - 0.05",Cleaned_Data[[#This Row],[Price (USD)]]&lt;0.5,"0.05 - 0.5",Cleaned_Data[[#This Row],[Price (USD)]]&lt;5,"0.5 - 5",Cleaned_Data[[#This Row],[Price (USD)]]&lt;50,"5 - 50",Cleaned_Data[[#This Row],[Price (USD)]]&gt;=50,"&gt; 50")</f>
        <v>0.5 - 5</v>
      </c>
      <c r="O27">
        <f>(Cleaned_Data[[#This Row],[1h Change (%)]]+Cleaned_Data[[#This Row],[24h Change (%)]]+Cleaned_Data[[#This Row],[7d Change (%)]])/3</f>
        <v>0</v>
      </c>
      <c r="P27">
        <f>Cleaned_Data[[#This Row],[Price (USD)]]/(1+Cleaned_Data[[#This Row],[1h Change (%)]]/100)</f>
        <v>0.99829999999999997</v>
      </c>
      <c r="Q27">
        <f>Cleaned_Data[[#This Row],[Price (USD)]]/(1-Cleaned_Data[[#This Row],[24h Change (%)]]/100)</f>
        <v>0.99829999999999997</v>
      </c>
      <c r="R27">
        <f>Cleaned_Data[[#This Row],[Price (USD)]]/(1+Cleaned_Data[[#This Row],[7d Change (%)]]/100)</f>
        <v>0.99829999999999997</v>
      </c>
      <c r="S27">
        <f>Cleaned_Data[[#This Row],[Price (USD)]]-Cleaned_Data[[#This Row],[1-Hour Before Price]]</f>
        <v>0</v>
      </c>
    </row>
    <row r="28" spans="1:19" x14ac:dyDescent="0.3">
      <c r="A28" t="s">
        <v>181</v>
      </c>
      <c r="B28" t="s">
        <v>182</v>
      </c>
      <c r="C28">
        <v>0.17449999999999999</v>
      </c>
      <c r="D28">
        <v>5.8999999999999999E-3</v>
      </c>
      <c r="E28">
        <v>607020903</v>
      </c>
      <c r="F28">
        <v>1377265</v>
      </c>
      <c r="G28" t="s">
        <v>187</v>
      </c>
      <c r="H28">
        <v>3470000000</v>
      </c>
      <c r="I28">
        <f>Cleaned_Data[[#This Row],[Volume (24h) USD]]/Cleaned_Data[[#This Row],[Circulating_Supply($)]]</f>
        <v>3.9690634005763687E-4</v>
      </c>
      <c r="J28">
        <f>RANK(Cleaned_Data[[#This Row],[Market Cap]],Cleaned_Data[Market Cap],0)</f>
        <v>24</v>
      </c>
      <c r="K28" t="str">
        <f t="shared" si="0"/>
        <v>0-0.5</v>
      </c>
      <c r="L28">
        <f>Cleaned_Data[[#This Row],[1h Change (%)]]*24</f>
        <v>0.1416</v>
      </c>
      <c r="M28">
        <f>Cleaned_Data[[#This Row],[24h Change (%)]]*7</f>
        <v>0.99120000000000008</v>
      </c>
      <c r="N28" t="str" cm="1">
        <f t="array" ref="N28">_xlfn.IFS(Cleaned_Data[[#This Row],[Price (USD)]]&lt;0.05,"0 - 0.05",Cleaned_Data[[#This Row],[Price (USD)]]&lt;0.5,"0.05 - 0.5",Cleaned_Data[[#This Row],[Price (USD)]]&lt;5,"0.5 - 5",Cleaned_Data[[#This Row],[Price (USD)]]&lt;50,"5 - 50",Cleaned_Data[[#This Row],[Price (USD)]]&gt;=50,"&gt; 50")</f>
        <v>0.05 - 0.5</v>
      </c>
      <c r="O28">
        <f>(Cleaned_Data[[#This Row],[1h Change (%)]]+Cleaned_Data[[#This Row],[24h Change (%)]]+Cleaned_Data[[#This Row],[7d Change (%)]])/3</f>
        <v>0.37956666666666666</v>
      </c>
      <c r="P28">
        <f>Cleaned_Data[[#This Row],[Price (USD)]]/(1+Cleaned_Data[[#This Row],[1h Change (%)]]/100)</f>
        <v>0.17448970510739864</v>
      </c>
      <c r="Q28">
        <f>Cleaned_Data[[#This Row],[Price (USD)]]/(1-Cleaned_Data[[#This Row],[24h Change (%)]]/100)</f>
        <v>0.17474744237840781</v>
      </c>
      <c r="R28">
        <f>Cleaned_Data[[#This Row],[Price (USD)]]/(1+Cleaned_Data[[#This Row],[7d Change (%)]]/100)</f>
        <v>0.1727873319655574</v>
      </c>
      <c r="S28">
        <f>Cleaned_Data[[#This Row],[Price (USD)]]-Cleaned_Data[[#This Row],[1-Hour Before Price]]</f>
        <v>1.0294892601347971E-5</v>
      </c>
    </row>
    <row r="29" spans="1:19" x14ac:dyDescent="0.3">
      <c r="A29" t="s">
        <v>188</v>
      </c>
      <c r="B29" t="s">
        <v>189</v>
      </c>
      <c r="C29">
        <v>7.6300000000000007E-2</v>
      </c>
      <c r="D29">
        <v>2.3E-3</v>
      </c>
      <c r="E29">
        <v>545355889</v>
      </c>
      <c r="F29">
        <v>4396792</v>
      </c>
      <c r="G29" t="s">
        <v>194</v>
      </c>
      <c r="H29">
        <v>7140000000</v>
      </c>
      <c r="I29">
        <f>Cleaned_Data[[#This Row],[Volume (24h) USD]]/Cleaned_Data[[#This Row],[Circulating_Supply($)]]</f>
        <v>6.1579719887955178E-4</v>
      </c>
      <c r="J29">
        <f>RANK(Cleaned_Data[[#This Row],[Market Cap]],Cleaned_Data[Market Cap],0)</f>
        <v>28</v>
      </c>
      <c r="K29" t="str">
        <f t="shared" si="0"/>
        <v>0-0.5</v>
      </c>
      <c r="L29">
        <f>Cleaned_Data[[#This Row],[1h Change (%)]]*24</f>
        <v>5.5199999999999999E-2</v>
      </c>
      <c r="M29">
        <f>Cleaned_Data[[#This Row],[24h Change (%)]]*7</f>
        <v>0.38639999999999997</v>
      </c>
      <c r="N29" t="str" cm="1">
        <f t="array" ref="N29">_xlfn.IFS(Cleaned_Data[[#This Row],[Price (USD)]]&lt;0.05,"0 - 0.05",Cleaned_Data[[#This Row],[Price (USD)]]&lt;0.5,"0.05 - 0.5",Cleaned_Data[[#This Row],[Price (USD)]]&lt;5,"0.5 - 5",Cleaned_Data[[#This Row],[Price (USD)]]&lt;50,"5 - 50",Cleaned_Data[[#This Row],[Price (USD)]]&gt;=50,"&gt; 50")</f>
        <v>0.05 - 0.5</v>
      </c>
      <c r="O29">
        <f>(Cleaned_Data[[#This Row],[1h Change (%)]]+Cleaned_Data[[#This Row],[24h Change (%)]]+Cleaned_Data[[#This Row],[7d Change (%)]])/3</f>
        <v>0.14796666666666666</v>
      </c>
      <c r="P29">
        <f>Cleaned_Data[[#This Row],[Price (USD)]]/(1+Cleaned_Data[[#This Row],[1h Change (%)]]/100)</f>
        <v>7.6298245140361765E-2</v>
      </c>
      <c r="Q29">
        <f>Cleaned_Data[[#This Row],[Price (USD)]]/(1-Cleaned_Data[[#This Row],[24h Change (%)]]/100)</f>
        <v>7.6342140861755697E-2</v>
      </c>
      <c r="R29">
        <f>Cleaned_Data[[#This Row],[Price (USD)]]/(1+Cleaned_Data[[#This Row],[7d Change (%)]]/100)</f>
        <v>7.6006311611931499E-2</v>
      </c>
      <c r="S29">
        <f>Cleaned_Data[[#This Row],[Price (USD)]]-Cleaned_Data[[#This Row],[1-Hour Before Price]]</f>
        <v>1.7548596382421788E-6</v>
      </c>
    </row>
    <row r="30" spans="1:19" x14ac:dyDescent="0.3">
      <c r="A30" t="s">
        <v>195</v>
      </c>
      <c r="B30" t="s">
        <v>196</v>
      </c>
      <c r="C30">
        <v>0.99980000000000002</v>
      </c>
      <c r="D30">
        <v>2.9999999999999997E-4</v>
      </c>
      <c r="E30">
        <v>538269461</v>
      </c>
      <c r="F30">
        <v>5715956</v>
      </c>
      <c r="G30" t="s">
        <v>201</v>
      </c>
      <c r="H30">
        <v>538360000</v>
      </c>
      <c r="I30">
        <f>Cleaned_Data[[#This Row],[Volume (24h) USD]]/Cleaned_Data[[#This Row],[Circulating_Supply($)]]</f>
        <v>1.0617348985808753E-2</v>
      </c>
      <c r="J30">
        <f>RANK(Cleaned_Data[[#This Row],[Market Cap]],Cleaned_Data[Market Cap],0)</f>
        <v>29</v>
      </c>
      <c r="K30" t="str">
        <f t="shared" si="0"/>
        <v>0.5-1</v>
      </c>
      <c r="L30">
        <f>Cleaned_Data[[#This Row],[1h Change (%)]]*24</f>
        <v>7.1999999999999998E-3</v>
      </c>
      <c r="M30">
        <f>Cleaned_Data[[#This Row],[24h Change (%)]]*7</f>
        <v>5.04E-2</v>
      </c>
      <c r="N30" t="str" cm="1">
        <f t="array" ref="N30">_xlfn.IFS(Cleaned_Data[[#This Row],[Price (USD)]]&lt;0.05,"0 - 0.05",Cleaned_Data[[#This Row],[Price (USD)]]&lt;0.5,"0.05 - 0.5",Cleaned_Data[[#This Row],[Price (USD)]]&lt;5,"0.5 - 5",Cleaned_Data[[#This Row],[Price (USD)]]&lt;50,"5 - 50",Cleaned_Data[[#This Row],[Price (USD)]]&gt;=50,"&gt; 50")</f>
        <v>0.5 - 5</v>
      </c>
      <c r="O30">
        <f>(Cleaned_Data[[#This Row],[1h Change (%)]]+Cleaned_Data[[#This Row],[24h Change (%)]]+Cleaned_Data[[#This Row],[7d Change (%)]])/3</f>
        <v>1.9300000000000001E-2</v>
      </c>
      <c r="P30">
        <f>Cleaned_Data[[#This Row],[Price (USD)]]/(1+Cleaned_Data[[#This Row],[1h Change (%)]]/100)</f>
        <v>0.99979700060899823</v>
      </c>
      <c r="Q30">
        <f>Cleaned_Data[[#This Row],[Price (USD)]]/(1-Cleaned_Data[[#This Row],[24h Change (%)]]/100)</f>
        <v>0.99987199078333633</v>
      </c>
      <c r="R30">
        <f>Cleaned_Data[[#This Row],[Price (USD)]]/(1+Cleaned_Data[[#This Row],[7d Change (%)]]/100)</f>
        <v>0.99929635463726274</v>
      </c>
      <c r="S30">
        <f>Cleaned_Data[[#This Row],[Price (USD)]]-Cleaned_Data[[#This Row],[1-Hour Before Price]]</f>
        <v>2.9993910017900305E-6</v>
      </c>
    </row>
    <row r="31" spans="1:19" x14ac:dyDescent="0.3">
      <c r="A31" t="s">
        <v>202</v>
      </c>
      <c r="B31" t="s">
        <v>203</v>
      </c>
      <c r="C31">
        <v>1.94</v>
      </c>
      <c r="D31">
        <v>1.6000000000000001E-3</v>
      </c>
      <c r="E31">
        <v>503419749</v>
      </c>
      <c r="F31">
        <v>325843</v>
      </c>
      <c r="G31" t="s">
        <v>208</v>
      </c>
      <c r="H31">
        <v>258970000.00000003</v>
      </c>
      <c r="I31">
        <f>Cleaned_Data[[#This Row],[Volume (24h) USD]]/Cleaned_Data[[#This Row],[Circulating_Supply($)]]</f>
        <v>1.258226821639572E-3</v>
      </c>
      <c r="J31">
        <f>RANK(Cleaned_Data[[#This Row],[Market Cap]],Cleaned_Data[Market Cap],0)</f>
        <v>30</v>
      </c>
      <c r="K31" t="str">
        <f t="shared" si="0"/>
        <v>1-2</v>
      </c>
      <c r="L31">
        <f>Cleaned_Data[[#This Row],[1h Change (%)]]*24</f>
        <v>3.8400000000000004E-2</v>
      </c>
      <c r="M31">
        <f>Cleaned_Data[[#This Row],[24h Change (%)]]*7</f>
        <v>0.26880000000000004</v>
      </c>
      <c r="N31" t="str" cm="1">
        <f t="array" ref="N31">_xlfn.IFS(Cleaned_Data[[#This Row],[Price (USD)]]&lt;0.05,"0 - 0.05",Cleaned_Data[[#This Row],[Price (USD)]]&lt;0.5,"0.05 - 0.5",Cleaned_Data[[#This Row],[Price (USD)]]&lt;5,"0.5 - 5",Cleaned_Data[[#This Row],[Price (USD)]]&lt;50,"5 - 50",Cleaned_Data[[#This Row],[Price (USD)]]&gt;=50,"&gt; 50")</f>
        <v>0.5 - 5</v>
      </c>
      <c r="O31">
        <f>(Cleaned_Data[[#This Row],[1h Change (%)]]+Cleaned_Data[[#This Row],[24h Change (%)]]+Cleaned_Data[[#This Row],[7d Change (%)]])/3</f>
        <v>0.10293333333333334</v>
      </c>
      <c r="P31">
        <f>Cleaned_Data[[#This Row],[Price (USD)]]/(1+Cleaned_Data[[#This Row],[1h Change (%)]]/100)</f>
        <v>1.9399689604966319</v>
      </c>
      <c r="Q31">
        <f>Cleaned_Data[[#This Row],[Price (USD)]]/(1-Cleaned_Data[[#This Row],[24h Change (%)]]/100)</f>
        <v>1.9407452461745311</v>
      </c>
      <c r="R31">
        <f>Cleaned_Data[[#This Row],[Price (USD)]]/(1+Cleaned_Data[[#This Row],[7d Change (%)]]/100)</f>
        <v>1.9347992595902215</v>
      </c>
      <c r="S31">
        <f>Cleaned_Data[[#This Row],[Price (USD)]]-Cleaned_Data[[#This Row],[1-Hour Before Price]]</f>
        <v>3.1039503368024413E-5</v>
      </c>
    </row>
    <row r="32" spans="1:19" x14ac:dyDescent="0.3">
      <c r="A32" t="s">
        <v>209</v>
      </c>
      <c r="B32" t="s">
        <v>209</v>
      </c>
      <c r="C32">
        <v>7.1400000000000005E-2</v>
      </c>
      <c r="D32">
        <v>4.0000000000000002E-4</v>
      </c>
      <c r="E32">
        <v>136125306</v>
      </c>
      <c r="F32">
        <v>6721454</v>
      </c>
      <c r="G32" t="s">
        <v>213</v>
      </c>
      <c r="H32">
        <v>1900000000</v>
      </c>
      <c r="I32">
        <f>Cleaned_Data[[#This Row],[Volume (24h) USD]]/Cleaned_Data[[#This Row],[Circulating_Supply($)]]</f>
        <v>3.5376073684210527E-3</v>
      </c>
      <c r="J32">
        <f>RANK(Cleaned_Data[[#This Row],[Market Cap]],Cleaned_Data[Market Cap],0)</f>
        <v>31</v>
      </c>
      <c r="K32" t="str">
        <f t="shared" si="0"/>
        <v>0-0.5</v>
      </c>
      <c r="L32">
        <f>Cleaned_Data[[#This Row],[1h Change (%)]]*24</f>
        <v>9.6000000000000009E-3</v>
      </c>
      <c r="M32">
        <f>Cleaned_Data[[#This Row],[24h Change (%)]]*7</f>
        <v>6.720000000000001E-2</v>
      </c>
      <c r="N32" t="str" cm="1">
        <f t="array" ref="N32">_xlfn.IFS(Cleaned_Data[[#This Row],[Price (USD)]]&lt;0.05,"0 - 0.05",Cleaned_Data[[#This Row],[Price (USD)]]&lt;0.5,"0.05 - 0.5",Cleaned_Data[[#This Row],[Price (USD)]]&lt;5,"0.5 - 5",Cleaned_Data[[#This Row],[Price (USD)]]&lt;50,"5 - 50",Cleaned_Data[[#This Row],[Price (USD)]]&gt;=50,"&gt; 50")</f>
        <v>0.05 - 0.5</v>
      </c>
      <c r="O32">
        <f>(Cleaned_Data[[#This Row],[1h Change (%)]]+Cleaned_Data[[#This Row],[24h Change (%)]]+Cleaned_Data[[#This Row],[7d Change (%)]])/3</f>
        <v>2.5733333333333334E-2</v>
      </c>
      <c r="P32">
        <f>Cleaned_Data[[#This Row],[Price (USD)]]/(1+Cleaned_Data[[#This Row],[1h Change (%)]]/100)</f>
        <v>7.1399714401142414E-2</v>
      </c>
      <c r="Q32">
        <f>Cleaned_Data[[#This Row],[Price (USD)]]/(1-Cleaned_Data[[#This Row],[24h Change (%)]]/100)</f>
        <v>7.1406855058085583E-2</v>
      </c>
      <c r="R32">
        <f>Cleaned_Data[[#This Row],[Price (USD)]]/(1+Cleaned_Data[[#This Row],[7d Change (%)]]/100)</f>
        <v>7.1352051421444795E-2</v>
      </c>
      <c r="S32">
        <f>Cleaned_Data[[#This Row],[Price (USD)]]-Cleaned_Data[[#This Row],[1-Hour Before Price]]</f>
        <v>2.8559885759116277E-7</v>
      </c>
    </row>
    <row r="33" spans="1:19" x14ac:dyDescent="0.3">
      <c r="A33" t="s">
        <v>214</v>
      </c>
      <c r="B33" t="s">
        <v>215</v>
      </c>
      <c r="C33">
        <v>0.99950000000000006</v>
      </c>
      <c r="D33">
        <v>0</v>
      </c>
      <c r="E33">
        <v>132578463</v>
      </c>
      <c r="F33">
        <v>343471</v>
      </c>
      <c r="G33" t="s">
        <v>218</v>
      </c>
      <c r="H33">
        <v>132630000</v>
      </c>
      <c r="I33">
        <f>Cleaned_Data[[#This Row],[Volume (24h) USD]]/Cleaned_Data[[#This Row],[Circulating_Supply($)]]</f>
        <v>2.5896931312674358E-3</v>
      </c>
      <c r="J33">
        <f>RANK(Cleaned_Data[[#This Row],[Market Cap]],Cleaned_Data[Market Cap],0)</f>
        <v>32</v>
      </c>
      <c r="K33" t="str">
        <f t="shared" si="0"/>
        <v>0.5-1</v>
      </c>
      <c r="L33">
        <f>Cleaned_Data[[#This Row],[1h Change (%)]]*24</f>
        <v>0</v>
      </c>
      <c r="M33">
        <f>Cleaned_Data[[#This Row],[24h Change (%)]]*7</f>
        <v>0</v>
      </c>
      <c r="N33" t="str" cm="1">
        <f t="array" ref="N33">_xlfn.IFS(Cleaned_Data[[#This Row],[Price (USD)]]&lt;0.05,"0 - 0.05",Cleaned_Data[[#This Row],[Price (USD)]]&lt;0.5,"0.05 - 0.5",Cleaned_Data[[#This Row],[Price (USD)]]&lt;5,"0.5 - 5",Cleaned_Data[[#This Row],[Price (USD)]]&lt;50,"5 - 50",Cleaned_Data[[#This Row],[Price (USD)]]&gt;=50,"&gt; 50")</f>
        <v>0.5 - 5</v>
      </c>
      <c r="O33">
        <f>(Cleaned_Data[[#This Row],[1h Change (%)]]+Cleaned_Data[[#This Row],[24h Change (%)]]+Cleaned_Data[[#This Row],[7d Change (%)]])/3</f>
        <v>0</v>
      </c>
      <c r="P33">
        <f>Cleaned_Data[[#This Row],[Price (USD)]]/(1+Cleaned_Data[[#This Row],[1h Change (%)]]/100)</f>
        <v>0.99950000000000006</v>
      </c>
      <c r="Q33">
        <f>Cleaned_Data[[#This Row],[Price (USD)]]/(1-Cleaned_Data[[#This Row],[24h Change (%)]]/100)</f>
        <v>0.99950000000000006</v>
      </c>
      <c r="R33">
        <f>Cleaned_Data[[#This Row],[Price (USD)]]/(1+Cleaned_Data[[#This Row],[7d Change (%)]]/100)</f>
        <v>0.99950000000000006</v>
      </c>
      <c r="S33">
        <f>Cleaned_Data[[#This Row],[Price (USD)]]-Cleaned_Data[[#This Row],[1-Hour Before Price]]</f>
        <v>0</v>
      </c>
    </row>
    <row r="34" spans="1:19" x14ac:dyDescent="0.3">
      <c r="A34" t="s">
        <v>219</v>
      </c>
      <c r="B34" t="s">
        <v>220</v>
      </c>
      <c r="C34">
        <v>0.99960000000000004</v>
      </c>
      <c r="D34">
        <v>2.0000000000000001E-4</v>
      </c>
      <c r="E34">
        <v>131915058</v>
      </c>
      <c r="F34">
        <v>1092882</v>
      </c>
      <c r="G34" t="s">
        <v>224</v>
      </c>
      <c r="H34">
        <v>131949999.99999999</v>
      </c>
      <c r="I34">
        <f>Cleaned_Data[[#This Row],[Volume (24h) USD]]/Cleaned_Data[[#This Row],[Circulating_Supply($)]]</f>
        <v>8.2825464190981433E-3</v>
      </c>
      <c r="J34">
        <f>RANK(Cleaned_Data[[#This Row],[Market Cap]],Cleaned_Data[Market Cap],0)</f>
        <v>33</v>
      </c>
      <c r="K34" t="str">
        <f t="shared" ref="K34:K65" si="1">IF(C34&lt;=0.5,"0-0.5",
IF(C34&lt;=1,"0.5-1",
IF(C34&lt;=2,"1-2",
IF(C34&lt;=10,"2-10",
IF(C34&lt;=100,"10-100",
IF(C34&lt;=10000,"100-10000",
"10000+"))))))</f>
        <v>0.5-1</v>
      </c>
      <c r="L34">
        <f>Cleaned_Data[[#This Row],[1h Change (%)]]*24</f>
        <v>4.8000000000000004E-3</v>
      </c>
      <c r="M34">
        <f>Cleaned_Data[[#This Row],[24h Change (%)]]*7</f>
        <v>3.3600000000000005E-2</v>
      </c>
      <c r="N34" t="str" cm="1">
        <f t="array" ref="N34">_xlfn.IFS(Cleaned_Data[[#This Row],[Price (USD)]]&lt;0.05,"0 - 0.05",Cleaned_Data[[#This Row],[Price (USD)]]&lt;0.5,"0.05 - 0.5",Cleaned_Data[[#This Row],[Price (USD)]]&lt;5,"0.5 - 5",Cleaned_Data[[#This Row],[Price (USD)]]&lt;50,"5 - 50",Cleaned_Data[[#This Row],[Price (USD)]]&gt;=50,"&gt; 50")</f>
        <v>0.5 - 5</v>
      </c>
      <c r="O34">
        <f>(Cleaned_Data[[#This Row],[1h Change (%)]]+Cleaned_Data[[#This Row],[24h Change (%)]]+Cleaned_Data[[#This Row],[7d Change (%)]])/3</f>
        <v>1.2866666666666667E-2</v>
      </c>
      <c r="P34">
        <f>Cleaned_Data[[#This Row],[Price (USD)]]/(1+Cleaned_Data[[#This Row],[1h Change (%)]]/100)</f>
        <v>0.99959800080399841</v>
      </c>
      <c r="Q34">
        <f>Cleaned_Data[[#This Row],[Price (USD)]]/(1-Cleaned_Data[[#This Row],[24h Change (%)]]/100)</f>
        <v>0.99964798310318903</v>
      </c>
      <c r="R34">
        <f>Cleaned_Data[[#This Row],[Price (USD)]]/(1+Cleaned_Data[[#This Row],[7d Change (%)]]/100)</f>
        <v>0.99926424721293661</v>
      </c>
      <c r="S34">
        <f>Cleaned_Data[[#This Row],[Price (USD)]]-Cleaned_Data[[#This Row],[1-Hour Before Price]]</f>
        <v>1.9991960016341181E-6</v>
      </c>
    </row>
    <row r="35" spans="1:19" x14ac:dyDescent="0.3">
      <c r="A35" t="s">
        <v>225</v>
      </c>
      <c r="B35" t="s">
        <v>226</v>
      </c>
      <c r="C35">
        <v>0.13320000000000001</v>
      </c>
      <c r="D35">
        <v>4.3E-3</v>
      </c>
      <c r="E35">
        <v>131880666</v>
      </c>
      <c r="F35">
        <v>2531201</v>
      </c>
      <c r="G35" t="s">
        <v>230</v>
      </c>
      <c r="H35">
        <v>989350000</v>
      </c>
      <c r="I35">
        <f>Cleaned_Data[[#This Row],[Volume (24h) USD]]/Cleaned_Data[[#This Row],[Circulating_Supply($)]]</f>
        <v>2.5584484762722999E-3</v>
      </c>
      <c r="J35">
        <f>RANK(Cleaned_Data[[#This Row],[Market Cap]],Cleaned_Data[Market Cap],0)</f>
        <v>34</v>
      </c>
      <c r="K35" t="str">
        <f t="shared" si="1"/>
        <v>0-0.5</v>
      </c>
      <c r="L35">
        <f>Cleaned_Data[[#This Row],[1h Change (%)]]*24</f>
        <v>0.1032</v>
      </c>
      <c r="M35">
        <f>Cleaned_Data[[#This Row],[24h Change (%)]]*7</f>
        <v>0.72240000000000004</v>
      </c>
      <c r="N35" t="str" cm="1">
        <f t="array" ref="N35">_xlfn.IFS(Cleaned_Data[[#This Row],[Price (USD)]]&lt;0.05,"0 - 0.05",Cleaned_Data[[#This Row],[Price (USD)]]&lt;0.5,"0.05 - 0.5",Cleaned_Data[[#This Row],[Price (USD)]]&lt;5,"0.5 - 5",Cleaned_Data[[#This Row],[Price (USD)]]&lt;50,"5 - 50",Cleaned_Data[[#This Row],[Price (USD)]]&gt;=50,"&gt; 50")</f>
        <v>0.05 - 0.5</v>
      </c>
      <c r="O35">
        <f>(Cleaned_Data[[#This Row],[1h Change (%)]]+Cleaned_Data[[#This Row],[24h Change (%)]]+Cleaned_Data[[#This Row],[7d Change (%)]])/3</f>
        <v>0.27663333333333334</v>
      </c>
      <c r="P35">
        <f>Cleaned_Data[[#This Row],[Price (USD)]]/(1+Cleaned_Data[[#This Row],[1h Change (%)]]/100)</f>
        <v>0.13319427264627623</v>
      </c>
      <c r="Q35">
        <f>Cleaned_Data[[#This Row],[Price (USD)]]/(1-Cleaned_Data[[#This Row],[24h Change (%)]]/100)</f>
        <v>0.13333760440774881</v>
      </c>
      <c r="R35">
        <f>Cleaned_Data[[#This Row],[Price (USD)]]/(1+Cleaned_Data[[#This Row],[7d Change (%)]]/100)</f>
        <v>0.13224466454333894</v>
      </c>
      <c r="S35">
        <f>Cleaned_Data[[#This Row],[Price (USD)]]-Cleaned_Data[[#This Row],[1-Hour Before Price]]</f>
        <v>5.7273537237834127E-6</v>
      </c>
    </row>
    <row r="36" spans="1:19" x14ac:dyDescent="0.3">
      <c r="A36" t="s">
        <v>231</v>
      </c>
      <c r="B36" t="s">
        <v>232</v>
      </c>
      <c r="C36">
        <v>0.27810000000000001</v>
      </c>
      <c r="D36">
        <v>1.3100000000000001E-2</v>
      </c>
      <c r="E36">
        <v>129554753</v>
      </c>
      <c r="F36">
        <v>7930906</v>
      </c>
      <c r="G36" t="s">
        <v>237</v>
      </c>
      <c r="H36">
        <v>465830000</v>
      </c>
      <c r="I36">
        <f>Cleaned_Data[[#This Row],[Volume (24h) USD]]/Cleaned_Data[[#This Row],[Circulating_Supply($)]]</f>
        <v>1.7025322542558445E-2</v>
      </c>
      <c r="J36">
        <f>RANK(Cleaned_Data[[#This Row],[Market Cap]],Cleaned_Data[Market Cap],0)</f>
        <v>35</v>
      </c>
      <c r="K36" t="str">
        <f t="shared" si="1"/>
        <v>0-0.5</v>
      </c>
      <c r="L36">
        <f>Cleaned_Data[[#This Row],[1h Change (%)]]*24</f>
        <v>0.31440000000000001</v>
      </c>
      <c r="M36">
        <f>Cleaned_Data[[#This Row],[24h Change (%)]]*7</f>
        <v>2.2008000000000001</v>
      </c>
      <c r="N36" t="str" cm="1">
        <f t="array" ref="N36">_xlfn.IFS(Cleaned_Data[[#This Row],[Price (USD)]]&lt;0.05,"0 - 0.05",Cleaned_Data[[#This Row],[Price (USD)]]&lt;0.5,"0.05 - 0.5",Cleaned_Data[[#This Row],[Price (USD)]]&lt;5,"0.5 - 5",Cleaned_Data[[#This Row],[Price (USD)]]&lt;50,"5 - 50",Cleaned_Data[[#This Row],[Price (USD)]]&gt;=50,"&gt; 50")</f>
        <v>0.05 - 0.5</v>
      </c>
      <c r="O36">
        <f>(Cleaned_Data[[#This Row],[1h Change (%)]]+Cleaned_Data[[#This Row],[24h Change (%)]]+Cleaned_Data[[#This Row],[7d Change (%)]])/3</f>
        <v>0.84276666666666677</v>
      </c>
      <c r="P36">
        <f>Cleaned_Data[[#This Row],[Price (USD)]]/(1+Cleaned_Data[[#This Row],[1h Change (%)]]/100)</f>
        <v>0.27806357367184897</v>
      </c>
      <c r="Q36">
        <f>Cleaned_Data[[#This Row],[Price (USD)]]/(1-Cleaned_Data[[#This Row],[24h Change (%)]]/100)</f>
        <v>0.27897710401502324</v>
      </c>
      <c r="R36">
        <f>Cleaned_Data[[#This Row],[Price (USD)]]/(1+Cleaned_Data[[#This Row],[7d Change (%)]]/100)</f>
        <v>0.27211137290510445</v>
      </c>
      <c r="S36">
        <f>Cleaned_Data[[#This Row],[Price (USD)]]-Cleaned_Data[[#This Row],[1-Hour Before Price]]</f>
        <v>3.6426328151040188E-5</v>
      </c>
    </row>
    <row r="37" spans="1:19" x14ac:dyDescent="0.3">
      <c r="A37" t="s">
        <v>238</v>
      </c>
      <c r="B37" t="s">
        <v>238</v>
      </c>
      <c r="C37">
        <v>0.99970000000000003</v>
      </c>
      <c r="D37">
        <v>1E-4</v>
      </c>
      <c r="E37">
        <v>128872926</v>
      </c>
      <c r="F37">
        <v>8432086</v>
      </c>
      <c r="G37" t="s">
        <v>241</v>
      </c>
      <c r="H37">
        <v>128900000</v>
      </c>
      <c r="I37">
        <f>Cleaned_Data[[#This Row],[Volume (24h) USD]]/Cleaned_Data[[#This Row],[Circulating_Supply($)]]</f>
        <v>6.5415717610550816E-2</v>
      </c>
      <c r="J37">
        <f>RANK(Cleaned_Data[[#This Row],[Market Cap]],Cleaned_Data[Market Cap],0)</f>
        <v>36</v>
      </c>
      <c r="K37" t="str">
        <f t="shared" si="1"/>
        <v>0.5-1</v>
      </c>
      <c r="L37">
        <f>Cleaned_Data[[#This Row],[1h Change (%)]]*24</f>
        <v>2.4000000000000002E-3</v>
      </c>
      <c r="M37">
        <f>Cleaned_Data[[#This Row],[24h Change (%)]]*7</f>
        <v>1.6800000000000002E-2</v>
      </c>
      <c r="N37" t="str" cm="1">
        <f t="array" ref="N37">_xlfn.IFS(Cleaned_Data[[#This Row],[Price (USD)]]&lt;0.05,"0 - 0.05",Cleaned_Data[[#This Row],[Price (USD)]]&lt;0.5,"0.05 - 0.5",Cleaned_Data[[#This Row],[Price (USD)]]&lt;5,"0.5 - 5",Cleaned_Data[[#This Row],[Price (USD)]]&lt;50,"5 - 50",Cleaned_Data[[#This Row],[Price (USD)]]&gt;=50,"&gt; 50")</f>
        <v>0.5 - 5</v>
      </c>
      <c r="O37">
        <f>(Cleaned_Data[[#This Row],[1h Change (%)]]+Cleaned_Data[[#This Row],[24h Change (%)]]+Cleaned_Data[[#This Row],[7d Change (%)]])/3</f>
        <v>6.4333333333333334E-3</v>
      </c>
      <c r="P37">
        <f>Cleaned_Data[[#This Row],[Price (USD)]]/(1+Cleaned_Data[[#This Row],[1h Change (%)]]/100)</f>
        <v>0.99969900030099978</v>
      </c>
      <c r="Q37">
        <f>Cleaned_Data[[#This Row],[Price (USD)]]/(1-Cleaned_Data[[#This Row],[24h Change (%)]]/100)</f>
        <v>0.99972399337584106</v>
      </c>
      <c r="R37">
        <f>Cleaned_Data[[#This Row],[Price (USD)]]/(1+Cleaned_Data[[#This Row],[7d Change (%)]]/100)</f>
        <v>0.99953207861079352</v>
      </c>
      <c r="S37">
        <f>Cleaned_Data[[#This Row],[Price (USD)]]-Cleaned_Data[[#This Row],[1-Hour Before Price]]</f>
        <v>9.9969900024809988E-7</v>
      </c>
    </row>
    <row r="38" spans="1:19" x14ac:dyDescent="0.3">
      <c r="A38" t="s">
        <v>242</v>
      </c>
      <c r="B38" t="s">
        <v>243</v>
      </c>
      <c r="C38">
        <v>4.9599999999999998E-2</v>
      </c>
      <c r="D38">
        <v>5.0000000000000001E-3</v>
      </c>
      <c r="E38">
        <v>128393361</v>
      </c>
      <c r="F38">
        <v>10778520</v>
      </c>
      <c r="G38" t="s">
        <v>248</v>
      </c>
      <c r="H38">
        <v>2590000000</v>
      </c>
      <c r="I38">
        <f>Cleaned_Data[[#This Row],[Volume (24h) USD]]/Cleaned_Data[[#This Row],[Circulating_Supply($)]]</f>
        <v>4.1615907335907339E-3</v>
      </c>
      <c r="J38">
        <f>RANK(Cleaned_Data[[#This Row],[Market Cap]],Cleaned_Data[Market Cap],0)</f>
        <v>37</v>
      </c>
      <c r="K38" t="str">
        <f t="shared" si="1"/>
        <v>0-0.5</v>
      </c>
      <c r="L38">
        <f>Cleaned_Data[[#This Row],[1h Change (%)]]*24</f>
        <v>0.12</v>
      </c>
      <c r="M38">
        <f>Cleaned_Data[[#This Row],[24h Change (%)]]*7</f>
        <v>0.84</v>
      </c>
      <c r="N38" t="str" cm="1">
        <f t="array" ref="N38">_xlfn.IFS(Cleaned_Data[[#This Row],[Price (USD)]]&lt;0.05,"0 - 0.05",Cleaned_Data[[#This Row],[Price (USD)]]&lt;0.5,"0.05 - 0.5",Cleaned_Data[[#This Row],[Price (USD)]]&lt;5,"0.5 - 5",Cleaned_Data[[#This Row],[Price (USD)]]&lt;50,"5 - 50",Cleaned_Data[[#This Row],[Price (USD)]]&gt;=50,"&gt; 50")</f>
        <v>0 - 0.05</v>
      </c>
      <c r="O38">
        <f>(Cleaned_Data[[#This Row],[1h Change (%)]]+Cleaned_Data[[#This Row],[24h Change (%)]]+Cleaned_Data[[#This Row],[7d Change (%)]])/3</f>
        <v>0.32166666666666666</v>
      </c>
      <c r="P38">
        <f>Cleaned_Data[[#This Row],[Price (USD)]]/(1+Cleaned_Data[[#This Row],[1h Change (%)]]/100)</f>
        <v>4.9597520123993794E-2</v>
      </c>
      <c r="Q38">
        <f>Cleaned_Data[[#This Row],[Price (USD)]]/(1-Cleaned_Data[[#This Row],[24h Change (%)]]/100)</f>
        <v>4.9659591509811772E-2</v>
      </c>
      <c r="R38">
        <f>Cleaned_Data[[#This Row],[Price (USD)]]/(1+Cleaned_Data[[#This Row],[7d Change (%)]]/100)</f>
        <v>4.918683062276874E-2</v>
      </c>
      <c r="S38">
        <f>Cleaned_Data[[#This Row],[Price (USD)]]-Cleaned_Data[[#This Row],[1-Hour Before Price]]</f>
        <v>2.4798760062047509E-6</v>
      </c>
    </row>
    <row r="39" spans="1:19" x14ac:dyDescent="0.3">
      <c r="A39" t="s">
        <v>249</v>
      </c>
      <c r="B39" t="s">
        <v>250</v>
      </c>
      <c r="C39">
        <v>2.6700000000000002E-2</v>
      </c>
      <c r="D39">
        <v>5.0000000000000001E-4</v>
      </c>
      <c r="E39">
        <v>128203844</v>
      </c>
      <c r="F39">
        <v>10487502</v>
      </c>
      <c r="G39" t="s">
        <v>255</v>
      </c>
      <c r="H39">
        <v>4790000000</v>
      </c>
      <c r="I39">
        <f>Cleaned_Data[[#This Row],[Volume (24h) USD]]/Cleaned_Data[[#This Row],[Circulating_Supply($)]]</f>
        <v>2.1894576200417537E-3</v>
      </c>
      <c r="J39">
        <f>RANK(Cleaned_Data[[#This Row],[Market Cap]],Cleaned_Data[Market Cap],0)</f>
        <v>38</v>
      </c>
      <c r="K39" t="str">
        <f t="shared" si="1"/>
        <v>0-0.5</v>
      </c>
      <c r="L39">
        <f>Cleaned_Data[[#This Row],[1h Change (%)]]*24</f>
        <v>1.2E-2</v>
      </c>
      <c r="M39">
        <f>Cleaned_Data[[#This Row],[24h Change (%)]]*7</f>
        <v>8.4000000000000005E-2</v>
      </c>
      <c r="N39" t="str" cm="1">
        <f t="array" ref="N39">_xlfn.IFS(Cleaned_Data[[#This Row],[Price (USD)]]&lt;0.05,"0 - 0.05",Cleaned_Data[[#This Row],[Price (USD)]]&lt;0.5,"0.05 - 0.5",Cleaned_Data[[#This Row],[Price (USD)]]&lt;5,"0.5 - 5",Cleaned_Data[[#This Row],[Price (USD)]]&lt;50,"5 - 50",Cleaned_Data[[#This Row],[Price (USD)]]&gt;=50,"&gt; 50")</f>
        <v>0 - 0.05</v>
      </c>
      <c r="O39">
        <f>(Cleaned_Data[[#This Row],[1h Change (%)]]+Cleaned_Data[[#This Row],[24h Change (%)]]+Cleaned_Data[[#This Row],[7d Change (%)]])/3</f>
        <v>3.216666666666667E-2</v>
      </c>
      <c r="P39">
        <f>Cleaned_Data[[#This Row],[Price (USD)]]/(1+Cleaned_Data[[#This Row],[1h Change (%)]]/100)</f>
        <v>2.6699866500667496E-2</v>
      </c>
      <c r="Q39">
        <f>Cleaned_Data[[#This Row],[Price (USD)]]/(1-Cleaned_Data[[#This Row],[24h Change (%)]]/100)</f>
        <v>2.6703204384526145E-2</v>
      </c>
      <c r="R39">
        <f>Cleaned_Data[[#This Row],[Price (USD)]]/(1+Cleaned_Data[[#This Row],[7d Change (%)]]/100)</f>
        <v>2.6677590823708089E-2</v>
      </c>
      <c r="S39">
        <f>Cleaned_Data[[#This Row],[Price (USD)]]-Cleaned_Data[[#This Row],[1-Hour Before Price]]</f>
        <v>1.3349933250528245E-7</v>
      </c>
    </row>
    <row r="40" spans="1:19" x14ac:dyDescent="0.3">
      <c r="A40" t="s">
        <v>256</v>
      </c>
      <c r="B40" t="s">
        <v>257</v>
      </c>
      <c r="C40">
        <v>6.8099999999999994E-2</v>
      </c>
      <c r="D40">
        <v>4.3E-3</v>
      </c>
      <c r="E40">
        <v>127672149</v>
      </c>
      <c r="F40">
        <v>11344790</v>
      </c>
      <c r="G40" t="s">
        <v>261</v>
      </c>
      <c r="H40">
        <v>1870000000</v>
      </c>
      <c r="I40">
        <f>Cleaned_Data[[#This Row],[Volume (24h) USD]]/Cleaned_Data[[#This Row],[Circulating_Supply($)]]</f>
        <v>6.0667326203208555E-3</v>
      </c>
      <c r="J40">
        <f>RANK(Cleaned_Data[[#This Row],[Market Cap]],Cleaned_Data[Market Cap],0)</f>
        <v>39</v>
      </c>
      <c r="K40" t="str">
        <f t="shared" si="1"/>
        <v>0-0.5</v>
      </c>
      <c r="L40">
        <f>Cleaned_Data[[#This Row],[1h Change (%)]]*24</f>
        <v>0.1032</v>
      </c>
      <c r="M40">
        <f>Cleaned_Data[[#This Row],[24h Change (%)]]*7</f>
        <v>0.72240000000000004</v>
      </c>
      <c r="N40" t="str" cm="1">
        <f t="array" ref="N40">_xlfn.IFS(Cleaned_Data[[#This Row],[Price (USD)]]&lt;0.05,"0 - 0.05",Cleaned_Data[[#This Row],[Price (USD)]]&lt;0.5,"0.05 - 0.5",Cleaned_Data[[#This Row],[Price (USD)]]&lt;5,"0.5 - 5",Cleaned_Data[[#This Row],[Price (USD)]]&lt;50,"5 - 50",Cleaned_Data[[#This Row],[Price (USD)]]&gt;=50,"&gt; 50")</f>
        <v>0.05 - 0.5</v>
      </c>
      <c r="O40">
        <f>(Cleaned_Data[[#This Row],[1h Change (%)]]+Cleaned_Data[[#This Row],[24h Change (%)]]+Cleaned_Data[[#This Row],[7d Change (%)]])/3</f>
        <v>0.27663333333333334</v>
      </c>
      <c r="P40">
        <f>Cleaned_Data[[#This Row],[Price (USD)]]/(1+Cleaned_Data[[#This Row],[1h Change (%)]]/100)</f>
        <v>6.8097071825911473E-2</v>
      </c>
      <c r="Q40">
        <f>Cleaned_Data[[#This Row],[Price (USD)]]/(1-Cleaned_Data[[#This Row],[24h Change (%)]]/100)</f>
        <v>6.8170351803060761E-2</v>
      </c>
      <c r="R40">
        <f>Cleaned_Data[[#This Row],[Price (USD)]]/(1+Cleaned_Data[[#This Row],[7d Change (%)]]/100)</f>
        <v>6.7611573989499851E-2</v>
      </c>
      <c r="S40">
        <f>Cleaned_Data[[#This Row],[Price (USD)]]-Cleaned_Data[[#This Row],[1-Hour Before Price]]</f>
        <v>2.9281740885206409E-6</v>
      </c>
    </row>
    <row r="41" spans="1:19" x14ac:dyDescent="0.3">
      <c r="A41" t="s">
        <v>262</v>
      </c>
      <c r="B41" t="s">
        <v>263</v>
      </c>
      <c r="C41">
        <v>4.24</v>
      </c>
      <c r="D41">
        <v>1.9E-3</v>
      </c>
      <c r="E41">
        <v>127660598</v>
      </c>
      <c r="F41">
        <v>9341488</v>
      </c>
      <c r="G41" t="s">
        <v>268</v>
      </c>
      <c r="H41">
        <v>30080000</v>
      </c>
      <c r="I41">
        <f>Cleaned_Data[[#This Row],[Volume (24h) USD]]/Cleaned_Data[[#This Row],[Circulating_Supply($)]]</f>
        <v>0.31055478723404256</v>
      </c>
      <c r="J41">
        <f>RANK(Cleaned_Data[[#This Row],[Market Cap]],Cleaned_Data[Market Cap],0)</f>
        <v>40</v>
      </c>
      <c r="K41" t="str">
        <f t="shared" si="1"/>
        <v>2-10</v>
      </c>
      <c r="L41">
        <f>Cleaned_Data[[#This Row],[1h Change (%)]]*24</f>
        <v>4.5600000000000002E-2</v>
      </c>
      <c r="M41">
        <f>Cleaned_Data[[#This Row],[24h Change (%)]]*7</f>
        <v>0.31920000000000004</v>
      </c>
      <c r="N41" t="str" cm="1">
        <f t="array" ref="N41">_xlfn.IFS(Cleaned_Data[[#This Row],[Price (USD)]]&lt;0.05,"0 - 0.05",Cleaned_Data[[#This Row],[Price (USD)]]&lt;0.5,"0.05 - 0.5",Cleaned_Data[[#This Row],[Price (USD)]]&lt;5,"0.5 - 5",Cleaned_Data[[#This Row],[Price (USD)]]&lt;50,"5 - 50",Cleaned_Data[[#This Row],[Price (USD)]]&gt;=50,"&gt; 50")</f>
        <v>0.5 - 5</v>
      </c>
      <c r="O41">
        <f>(Cleaned_Data[[#This Row],[1h Change (%)]]+Cleaned_Data[[#This Row],[24h Change (%)]]+Cleaned_Data[[#This Row],[7d Change (%)]])/3</f>
        <v>0.12223333333333335</v>
      </c>
      <c r="P41">
        <f>Cleaned_Data[[#This Row],[Price (USD)]]/(1+Cleaned_Data[[#This Row],[1h Change (%)]]/100)</f>
        <v>4.2399194415306107</v>
      </c>
      <c r="Q41">
        <f>Cleaned_Data[[#This Row],[Price (USD)]]/(1-Cleaned_Data[[#This Row],[24h Change (%)]]/100)</f>
        <v>4.2419343220508559</v>
      </c>
      <c r="R41">
        <f>Cleaned_Data[[#This Row],[Price (USD)]]/(1+Cleaned_Data[[#This Row],[7d Change (%)]]/100)</f>
        <v>4.2265089833252256</v>
      </c>
      <c r="S41">
        <f>Cleaned_Data[[#This Row],[Price (USD)]]-Cleaned_Data[[#This Row],[1-Hour Before Price]]</f>
        <v>8.0558469389480081E-5</v>
      </c>
    </row>
    <row r="42" spans="1:19" x14ac:dyDescent="0.3">
      <c r="A42" t="s">
        <v>269</v>
      </c>
      <c r="B42" t="s">
        <v>270</v>
      </c>
      <c r="C42">
        <v>0.43259999999999998</v>
      </c>
      <c r="D42">
        <v>1.32E-2</v>
      </c>
      <c r="E42">
        <v>87828987</v>
      </c>
      <c r="F42">
        <v>9141404</v>
      </c>
      <c r="G42" t="s">
        <v>275</v>
      </c>
      <c r="H42">
        <v>203020000</v>
      </c>
      <c r="I42">
        <f>Cleaned_Data[[#This Row],[Volume (24h) USD]]/Cleaned_Data[[#This Row],[Circulating_Supply($)]]</f>
        <v>4.5027110629494632E-2</v>
      </c>
      <c r="J42">
        <f>RANK(Cleaned_Data[[#This Row],[Market Cap]],Cleaned_Data[Market Cap],0)</f>
        <v>41</v>
      </c>
      <c r="K42" t="str">
        <f t="shared" si="1"/>
        <v>0-0.5</v>
      </c>
      <c r="L42">
        <f>Cleaned_Data[[#This Row],[1h Change (%)]]*24</f>
        <v>0.31679999999999997</v>
      </c>
      <c r="M42">
        <f>Cleaned_Data[[#This Row],[24h Change (%)]]*7</f>
        <v>2.2176</v>
      </c>
      <c r="N42" t="str" cm="1">
        <f t="array" ref="N42">_xlfn.IFS(Cleaned_Data[[#This Row],[Price (USD)]]&lt;0.05,"0 - 0.05",Cleaned_Data[[#This Row],[Price (USD)]]&lt;0.5,"0.05 - 0.5",Cleaned_Data[[#This Row],[Price (USD)]]&lt;5,"0.5 - 5",Cleaned_Data[[#This Row],[Price (USD)]]&lt;50,"5 - 50",Cleaned_Data[[#This Row],[Price (USD)]]&gt;=50,"&gt; 50")</f>
        <v>0.05 - 0.5</v>
      </c>
      <c r="O42">
        <f>(Cleaned_Data[[#This Row],[1h Change (%)]]+Cleaned_Data[[#This Row],[24h Change (%)]]+Cleaned_Data[[#This Row],[7d Change (%)]])/3</f>
        <v>0.84920000000000007</v>
      </c>
      <c r="P42">
        <f>Cleaned_Data[[#This Row],[Price (USD)]]/(1+Cleaned_Data[[#This Row],[1h Change (%)]]/100)</f>
        <v>0.43254290433662756</v>
      </c>
      <c r="Q42">
        <f>Cleaned_Data[[#This Row],[Price (USD)]]/(1-Cleaned_Data[[#This Row],[24h Change (%)]]/100)</f>
        <v>0.43397483226862699</v>
      </c>
      <c r="R42">
        <f>Cleaned_Data[[#This Row],[Price (USD)]]/(1+Cleaned_Data[[#This Row],[7d Change (%)]]/100)</f>
        <v>0.42321478884262592</v>
      </c>
      <c r="S42">
        <f>Cleaned_Data[[#This Row],[Price (USD)]]-Cleaned_Data[[#This Row],[1-Hour Before Price]]</f>
        <v>5.7095663372419558E-5</v>
      </c>
    </row>
    <row r="43" spans="1:19" x14ac:dyDescent="0.3">
      <c r="A43" t="s">
        <v>276</v>
      </c>
      <c r="B43" t="s">
        <v>277</v>
      </c>
      <c r="C43">
        <v>1.62</v>
      </c>
      <c r="D43">
        <v>1E-3</v>
      </c>
      <c r="E43">
        <v>87776158</v>
      </c>
      <c r="F43">
        <v>9108166</v>
      </c>
      <c r="G43" t="s">
        <v>281</v>
      </c>
      <c r="H43">
        <v>54050000</v>
      </c>
      <c r="I43">
        <f>Cleaned_Data[[#This Row],[Volume (24h) USD]]/Cleaned_Data[[#This Row],[Circulating_Supply($)]]</f>
        <v>0.16851370952821462</v>
      </c>
      <c r="J43">
        <f>RANK(Cleaned_Data[[#This Row],[Market Cap]],Cleaned_Data[Market Cap],0)</f>
        <v>42</v>
      </c>
      <c r="K43" t="str">
        <f t="shared" si="1"/>
        <v>1-2</v>
      </c>
      <c r="L43">
        <f>Cleaned_Data[[#This Row],[1h Change (%)]]*24</f>
        <v>2.4E-2</v>
      </c>
      <c r="M43">
        <f>Cleaned_Data[[#This Row],[24h Change (%)]]*7</f>
        <v>0.16800000000000001</v>
      </c>
      <c r="N43" t="str" cm="1">
        <f t="array" ref="N43">_xlfn.IFS(Cleaned_Data[[#This Row],[Price (USD)]]&lt;0.05,"0 - 0.05",Cleaned_Data[[#This Row],[Price (USD)]]&lt;0.5,"0.05 - 0.5",Cleaned_Data[[#This Row],[Price (USD)]]&lt;5,"0.5 - 5",Cleaned_Data[[#This Row],[Price (USD)]]&lt;50,"5 - 50",Cleaned_Data[[#This Row],[Price (USD)]]&gt;=50,"&gt; 50")</f>
        <v>0.5 - 5</v>
      </c>
      <c r="O43">
        <f>(Cleaned_Data[[#This Row],[1h Change (%)]]+Cleaned_Data[[#This Row],[24h Change (%)]]+Cleaned_Data[[#This Row],[7d Change (%)]])/3</f>
        <v>6.433333333333334E-2</v>
      </c>
      <c r="P43">
        <f>Cleaned_Data[[#This Row],[Price (USD)]]/(1+Cleaned_Data[[#This Row],[1h Change (%)]]/100)</f>
        <v>1.6199838001619984</v>
      </c>
      <c r="Q43">
        <f>Cleaned_Data[[#This Row],[Price (USD)]]/(1-Cleaned_Data[[#This Row],[24h Change (%)]]/100)</f>
        <v>1.6203888933344004</v>
      </c>
      <c r="R43">
        <f>Cleaned_Data[[#This Row],[Price (USD)]]/(1+Cleaned_Data[[#This Row],[7d Change (%)]]/100)</f>
        <v>1.6172829646194395</v>
      </c>
      <c r="S43">
        <f>Cleaned_Data[[#This Row],[Price (USD)]]-Cleaned_Data[[#This Row],[1-Hour Before Price]]</f>
        <v>1.6199838001718092E-5</v>
      </c>
    </row>
    <row r="44" spans="1:19" x14ac:dyDescent="0.3">
      <c r="A44" t="s">
        <v>282</v>
      </c>
      <c r="B44" t="s">
        <v>283</v>
      </c>
      <c r="C44">
        <v>0.69950000000000001</v>
      </c>
      <c r="D44">
        <v>0</v>
      </c>
      <c r="E44">
        <v>86786092</v>
      </c>
      <c r="F44">
        <v>24699</v>
      </c>
      <c r="G44" t="s">
        <v>287</v>
      </c>
      <c r="H44">
        <v>124060000</v>
      </c>
      <c r="I44">
        <f>Cleaned_Data[[#This Row],[Volume (24h) USD]]/Cleaned_Data[[#This Row],[Circulating_Supply($)]]</f>
        <v>1.9908915041109141E-4</v>
      </c>
      <c r="J44">
        <f>RANK(Cleaned_Data[[#This Row],[Market Cap]],Cleaned_Data[Market Cap],0)</f>
        <v>43</v>
      </c>
      <c r="K44" t="str">
        <f t="shared" si="1"/>
        <v>0.5-1</v>
      </c>
      <c r="L44">
        <f>Cleaned_Data[[#This Row],[1h Change (%)]]*24</f>
        <v>0</v>
      </c>
      <c r="M44">
        <f>Cleaned_Data[[#This Row],[24h Change (%)]]*7</f>
        <v>0</v>
      </c>
      <c r="N44" t="str" cm="1">
        <f t="array" ref="N44">_xlfn.IFS(Cleaned_Data[[#This Row],[Price (USD)]]&lt;0.05,"0 - 0.05",Cleaned_Data[[#This Row],[Price (USD)]]&lt;0.5,"0.05 - 0.5",Cleaned_Data[[#This Row],[Price (USD)]]&lt;5,"0.5 - 5",Cleaned_Data[[#This Row],[Price (USD)]]&lt;50,"5 - 50",Cleaned_Data[[#This Row],[Price (USD)]]&gt;=50,"&gt; 50")</f>
        <v>0.5 - 5</v>
      </c>
      <c r="O44">
        <f>(Cleaned_Data[[#This Row],[1h Change (%)]]+Cleaned_Data[[#This Row],[24h Change (%)]]+Cleaned_Data[[#This Row],[7d Change (%)]])/3</f>
        <v>0</v>
      </c>
      <c r="P44">
        <f>Cleaned_Data[[#This Row],[Price (USD)]]/(1+Cleaned_Data[[#This Row],[1h Change (%)]]/100)</f>
        <v>0.69950000000000001</v>
      </c>
      <c r="Q44">
        <f>Cleaned_Data[[#This Row],[Price (USD)]]/(1-Cleaned_Data[[#This Row],[24h Change (%)]]/100)</f>
        <v>0.69950000000000001</v>
      </c>
      <c r="R44">
        <f>Cleaned_Data[[#This Row],[Price (USD)]]/(1+Cleaned_Data[[#This Row],[7d Change (%)]]/100)</f>
        <v>0.69950000000000001</v>
      </c>
      <c r="S44">
        <f>Cleaned_Data[[#This Row],[Price (USD)]]-Cleaned_Data[[#This Row],[1-Hour Before Price]]</f>
        <v>0</v>
      </c>
    </row>
    <row r="45" spans="1:19" x14ac:dyDescent="0.3">
      <c r="A45" t="s">
        <v>288</v>
      </c>
      <c r="B45" t="s">
        <v>288</v>
      </c>
      <c r="C45">
        <v>2.88</v>
      </c>
      <c r="D45">
        <v>1.2999999999999999E-3</v>
      </c>
      <c r="E45">
        <v>86613592</v>
      </c>
      <c r="F45">
        <v>295825</v>
      </c>
      <c r="G45" t="s">
        <v>293</v>
      </c>
      <c r="H45">
        <v>30000000</v>
      </c>
      <c r="I45">
        <f>Cleaned_Data[[#This Row],[Volume (24h) USD]]/Cleaned_Data[[#This Row],[Circulating_Supply($)]]</f>
        <v>9.8608333333333326E-3</v>
      </c>
      <c r="J45">
        <f>RANK(Cleaned_Data[[#This Row],[Market Cap]],Cleaned_Data[Market Cap],0)</f>
        <v>44</v>
      </c>
      <c r="K45" t="str">
        <f t="shared" si="1"/>
        <v>2-10</v>
      </c>
      <c r="L45">
        <f>Cleaned_Data[[#This Row],[1h Change (%)]]*24</f>
        <v>3.1199999999999999E-2</v>
      </c>
      <c r="M45">
        <f>Cleaned_Data[[#This Row],[24h Change (%)]]*7</f>
        <v>0.21839999999999998</v>
      </c>
      <c r="N45" t="str" cm="1">
        <f t="array" ref="N45">_xlfn.IFS(Cleaned_Data[[#This Row],[Price (USD)]]&lt;0.05,"0 - 0.05",Cleaned_Data[[#This Row],[Price (USD)]]&lt;0.5,"0.05 - 0.5",Cleaned_Data[[#This Row],[Price (USD)]]&lt;5,"0.5 - 5",Cleaned_Data[[#This Row],[Price (USD)]]&lt;50,"5 - 50",Cleaned_Data[[#This Row],[Price (USD)]]&gt;=50,"&gt; 50")</f>
        <v>0.5 - 5</v>
      </c>
      <c r="O45">
        <f>(Cleaned_Data[[#This Row],[1h Change (%)]]+Cleaned_Data[[#This Row],[24h Change (%)]]+Cleaned_Data[[#This Row],[7d Change (%)]])/3</f>
        <v>8.3633333333333337E-2</v>
      </c>
      <c r="P45">
        <f>Cleaned_Data[[#This Row],[Price (USD)]]/(1+Cleaned_Data[[#This Row],[1h Change (%)]]/100)</f>
        <v>2.8799625604867134</v>
      </c>
      <c r="Q45">
        <f>Cleaned_Data[[#This Row],[Price (USD)]]/(1-Cleaned_Data[[#This Row],[24h Change (%)]]/100)</f>
        <v>2.8808988404382165</v>
      </c>
      <c r="R45">
        <f>Cleaned_Data[[#This Row],[Price (USD)]]/(1+Cleaned_Data[[#This Row],[7d Change (%)]]/100)</f>
        <v>2.873723787248649</v>
      </c>
      <c r="S45">
        <f>Cleaned_Data[[#This Row],[Price (USD)]]-Cleaned_Data[[#This Row],[1-Hour Before Price]]</f>
        <v>3.7439513286496862E-5</v>
      </c>
    </row>
    <row r="46" spans="1:19" x14ac:dyDescent="0.3">
      <c r="A46" t="s">
        <v>294</v>
      </c>
      <c r="B46" t="s">
        <v>295</v>
      </c>
      <c r="C46">
        <v>8.6499999999999994E-2</v>
      </c>
      <c r="D46">
        <v>2.0000000000000001E-4</v>
      </c>
      <c r="E46">
        <v>86345798</v>
      </c>
      <c r="F46">
        <v>4522686</v>
      </c>
      <c r="G46" t="s">
        <v>299</v>
      </c>
      <c r="H46">
        <v>998460000</v>
      </c>
      <c r="I46">
        <f>Cleaned_Data[[#This Row],[Volume (24h) USD]]/Cleaned_Data[[#This Row],[Circulating_Supply($)]]</f>
        <v>4.5296616789856376E-3</v>
      </c>
      <c r="J46">
        <f>RANK(Cleaned_Data[[#This Row],[Market Cap]],Cleaned_Data[Market Cap],0)</f>
        <v>46</v>
      </c>
      <c r="K46" t="str">
        <f t="shared" si="1"/>
        <v>0-0.5</v>
      </c>
      <c r="L46">
        <f>Cleaned_Data[[#This Row],[1h Change (%)]]*24</f>
        <v>4.8000000000000004E-3</v>
      </c>
      <c r="M46">
        <f>Cleaned_Data[[#This Row],[24h Change (%)]]*7</f>
        <v>3.3600000000000005E-2</v>
      </c>
      <c r="N46" t="str" cm="1">
        <f t="array" ref="N46">_xlfn.IFS(Cleaned_Data[[#This Row],[Price (USD)]]&lt;0.05,"0 - 0.05",Cleaned_Data[[#This Row],[Price (USD)]]&lt;0.5,"0.05 - 0.5",Cleaned_Data[[#This Row],[Price (USD)]]&lt;5,"0.5 - 5",Cleaned_Data[[#This Row],[Price (USD)]]&lt;50,"5 - 50",Cleaned_Data[[#This Row],[Price (USD)]]&gt;=50,"&gt; 50")</f>
        <v>0.05 - 0.5</v>
      </c>
      <c r="O46">
        <f>(Cleaned_Data[[#This Row],[1h Change (%)]]+Cleaned_Data[[#This Row],[24h Change (%)]]+Cleaned_Data[[#This Row],[7d Change (%)]])/3</f>
        <v>1.2866666666666667E-2</v>
      </c>
      <c r="P46">
        <f>Cleaned_Data[[#This Row],[Price (USD)]]/(1+Cleaned_Data[[#This Row],[1h Change (%)]]/100)</f>
        <v>8.6499827000345988E-2</v>
      </c>
      <c r="Q46">
        <f>Cleaned_Data[[#This Row],[Price (USD)]]/(1-Cleaned_Data[[#This Row],[24h Change (%)]]/100)</f>
        <v>8.6504152199305559E-2</v>
      </c>
      <c r="R46">
        <f>Cleaned_Data[[#This Row],[Price (USD)]]/(1+Cleaned_Data[[#This Row],[7d Change (%)]]/100)</f>
        <v>8.6470945762223902E-2</v>
      </c>
      <c r="S46">
        <f>Cleaned_Data[[#This Row],[Price (USD)]]-Cleaned_Data[[#This Row],[1-Hour Before Price]]</f>
        <v>1.7299965400507933E-7</v>
      </c>
    </row>
    <row r="47" spans="1:19" x14ac:dyDescent="0.3">
      <c r="A47" t="s">
        <v>300</v>
      </c>
      <c r="B47" t="s">
        <v>301</v>
      </c>
      <c r="C47">
        <v>6.4000000000000001E-2</v>
      </c>
      <c r="D47">
        <v>1.9E-3</v>
      </c>
      <c r="E47">
        <v>86441423</v>
      </c>
      <c r="F47">
        <v>6787116</v>
      </c>
      <c r="G47" t="s">
        <v>305</v>
      </c>
      <c r="H47">
        <v>1350000000</v>
      </c>
      <c r="I47">
        <f>Cleaned_Data[[#This Row],[Volume (24h) USD]]/Cleaned_Data[[#This Row],[Circulating_Supply($)]]</f>
        <v>5.0274933333333332E-3</v>
      </c>
      <c r="J47">
        <f>RANK(Cleaned_Data[[#This Row],[Market Cap]],Cleaned_Data[Market Cap],0)</f>
        <v>45</v>
      </c>
      <c r="K47" t="str">
        <f t="shared" si="1"/>
        <v>0-0.5</v>
      </c>
      <c r="L47">
        <f>Cleaned_Data[[#This Row],[1h Change (%)]]*24</f>
        <v>4.5600000000000002E-2</v>
      </c>
      <c r="M47">
        <f>Cleaned_Data[[#This Row],[24h Change (%)]]*7</f>
        <v>0.31920000000000004</v>
      </c>
      <c r="N47" t="str" cm="1">
        <f t="array" ref="N47">_xlfn.IFS(Cleaned_Data[[#This Row],[Price (USD)]]&lt;0.05,"0 - 0.05",Cleaned_Data[[#This Row],[Price (USD)]]&lt;0.5,"0.05 - 0.5",Cleaned_Data[[#This Row],[Price (USD)]]&lt;5,"0.5 - 5",Cleaned_Data[[#This Row],[Price (USD)]]&lt;50,"5 - 50",Cleaned_Data[[#This Row],[Price (USD)]]&gt;=50,"&gt; 50")</f>
        <v>0.05 - 0.5</v>
      </c>
      <c r="O47">
        <f>(Cleaned_Data[[#This Row],[1h Change (%)]]+Cleaned_Data[[#This Row],[24h Change (%)]]+Cleaned_Data[[#This Row],[7d Change (%)]])/3</f>
        <v>0.12223333333333335</v>
      </c>
      <c r="P47">
        <f>Cleaned_Data[[#This Row],[Price (USD)]]/(1+Cleaned_Data[[#This Row],[1h Change (%)]]/100)</f>
        <v>6.3998784023103564E-2</v>
      </c>
      <c r="Q47">
        <f>Cleaned_Data[[#This Row],[Price (USD)]]/(1-Cleaned_Data[[#This Row],[24h Change (%)]]/100)</f>
        <v>6.4029197313975175E-2</v>
      </c>
      <c r="R47">
        <f>Cleaned_Data[[#This Row],[Price (USD)]]/(1+Cleaned_Data[[#This Row],[7d Change (%)]]/100)</f>
        <v>6.379636201245624E-2</v>
      </c>
      <c r="S47">
        <f>Cleaned_Data[[#This Row],[Price (USD)]]-Cleaned_Data[[#This Row],[1-Hour Before Price]]</f>
        <v>1.2159768964375983E-6</v>
      </c>
    </row>
    <row r="48" spans="1:19" x14ac:dyDescent="0.3">
      <c r="A48" t="s">
        <v>306</v>
      </c>
      <c r="B48" t="s">
        <v>307</v>
      </c>
      <c r="C48">
        <v>0.45040000000000002</v>
      </c>
      <c r="D48">
        <v>5.1999999999999998E-3</v>
      </c>
      <c r="E48">
        <v>85996731</v>
      </c>
      <c r="F48">
        <v>4342188</v>
      </c>
      <c r="G48" t="s">
        <v>311</v>
      </c>
      <c r="H48">
        <v>190900000</v>
      </c>
      <c r="I48">
        <f>Cleaned_Data[[#This Row],[Volume (24h) USD]]/Cleaned_Data[[#This Row],[Circulating_Supply($)]]</f>
        <v>2.2745877422734415E-2</v>
      </c>
      <c r="J48">
        <f>RANK(Cleaned_Data[[#This Row],[Market Cap]],Cleaned_Data[Market Cap],0)</f>
        <v>47</v>
      </c>
      <c r="K48" t="str">
        <f t="shared" si="1"/>
        <v>0-0.5</v>
      </c>
      <c r="L48">
        <f>Cleaned_Data[[#This Row],[1h Change (%)]]*24</f>
        <v>0.12479999999999999</v>
      </c>
      <c r="M48">
        <f>Cleaned_Data[[#This Row],[24h Change (%)]]*7</f>
        <v>0.87359999999999993</v>
      </c>
      <c r="N48" t="str" cm="1">
        <f t="array" ref="N48">_xlfn.IFS(Cleaned_Data[[#This Row],[Price (USD)]]&lt;0.05,"0 - 0.05",Cleaned_Data[[#This Row],[Price (USD)]]&lt;0.5,"0.05 - 0.5",Cleaned_Data[[#This Row],[Price (USD)]]&lt;5,"0.5 - 5",Cleaned_Data[[#This Row],[Price (USD)]]&lt;50,"5 - 50",Cleaned_Data[[#This Row],[Price (USD)]]&gt;=50,"&gt; 50")</f>
        <v>0.05 - 0.5</v>
      </c>
      <c r="O48">
        <f>(Cleaned_Data[[#This Row],[1h Change (%)]]+Cleaned_Data[[#This Row],[24h Change (%)]]+Cleaned_Data[[#This Row],[7d Change (%)]])/3</f>
        <v>0.33453333333333335</v>
      </c>
      <c r="P48">
        <f>Cleaned_Data[[#This Row],[Price (USD)]]/(1+Cleaned_Data[[#This Row],[1h Change (%)]]/100)</f>
        <v>0.45037658041781831</v>
      </c>
      <c r="Q48">
        <f>Cleaned_Data[[#This Row],[Price (USD)]]/(1-Cleaned_Data[[#This Row],[24h Change (%)]]/100)</f>
        <v>0.45096280157636737</v>
      </c>
      <c r="R48">
        <f>Cleaned_Data[[#This Row],[Price (USD)]]/(1+Cleaned_Data[[#This Row],[7d Change (%)]]/100)</f>
        <v>0.44649938140405415</v>
      </c>
      <c r="S48">
        <f>Cleaned_Data[[#This Row],[Price (USD)]]-Cleaned_Data[[#This Row],[1-Hour Before Price]]</f>
        <v>2.3419582181716248E-5</v>
      </c>
    </row>
    <row r="49" spans="1:19" x14ac:dyDescent="0.3">
      <c r="A49" t="s">
        <v>312</v>
      </c>
      <c r="B49" t="s">
        <v>313</v>
      </c>
      <c r="C49">
        <v>8.5699999999999998E-2</v>
      </c>
      <c r="D49">
        <v>8.8000000000000005E-3</v>
      </c>
      <c r="E49">
        <v>85680579</v>
      </c>
      <c r="F49">
        <v>14947172</v>
      </c>
      <c r="G49" t="s">
        <v>318</v>
      </c>
      <c r="H49">
        <v>999990000</v>
      </c>
      <c r="I49">
        <f>Cleaned_Data[[#This Row],[Volume (24h) USD]]/Cleaned_Data[[#This Row],[Circulating_Supply($)]]</f>
        <v>1.4947321473214733E-2</v>
      </c>
      <c r="J49">
        <f>RANK(Cleaned_Data[[#This Row],[Market Cap]],Cleaned_Data[Market Cap],0)</f>
        <v>48</v>
      </c>
      <c r="K49" t="str">
        <f t="shared" si="1"/>
        <v>0-0.5</v>
      </c>
      <c r="L49">
        <f>Cleaned_Data[[#This Row],[1h Change (%)]]*24</f>
        <v>0.2112</v>
      </c>
      <c r="M49">
        <f>Cleaned_Data[[#This Row],[24h Change (%)]]*7</f>
        <v>1.4783999999999999</v>
      </c>
      <c r="N49" t="str" cm="1">
        <f t="array" ref="N49">_xlfn.IFS(Cleaned_Data[[#This Row],[Price (USD)]]&lt;0.05,"0 - 0.05",Cleaned_Data[[#This Row],[Price (USD)]]&lt;0.5,"0.05 - 0.5",Cleaned_Data[[#This Row],[Price (USD)]]&lt;5,"0.5 - 5",Cleaned_Data[[#This Row],[Price (USD)]]&lt;50,"5 - 50",Cleaned_Data[[#This Row],[Price (USD)]]&gt;=50,"&gt; 50")</f>
        <v>0.05 - 0.5</v>
      </c>
      <c r="O49">
        <f>(Cleaned_Data[[#This Row],[1h Change (%)]]+Cleaned_Data[[#This Row],[24h Change (%)]]+Cleaned_Data[[#This Row],[7d Change (%)]])/3</f>
        <v>0.56613333333333327</v>
      </c>
      <c r="P49">
        <f>Cleaned_Data[[#This Row],[Price (USD)]]/(1+Cleaned_Data[[#This Row],[1h Change (%)]]/100)</f>
        <v>8.56924590636024E-2</v>
      </c>
      <c r="Q49">
        <f>Cleaned_Data[[#This Row],[Price (USD)]]/(1-Cleaned_Data[[#This Row],[24h Change (%)]]/100)</f>
        <v>8.588138147768086E-2</v>
      </c>
      <c r="R49">
        <f>Cleaned_Data[[#This Row],[Price (USD)]]/(1+Cleaned_Data[[#This Row],[7d Change (%)]]/100)</f>
        <v>8.4451469475277499E-2</v>
      </c>
      <c r="S49">
        <f>Cleaned_Data[[#This Row],[Price (USD)]]-Cleaned_Data[[#This Row],[1-Hour Before Price]]</f>
        <v>7.5409363975986743E-6</v>
      </c>
    </row>
    <row r="50" spans="1:19" x14ac:dyDescent="0.3">
      <c r="A50" t="s">
        <v>319</v>
      </c>
      <c r="B50" t="s">
        <v>320</v>
      </c>
      <c r="C50">
        <v>8.5400000000000004E-2</v>
      </c>
      <c r="D50">
        <v>3.8E-3</v>
      </c>
      <c r="E50">
        <v>85436011</v>
      </c>
      <c r="F50">
        <v>10238715</v>
      </c>
      <c r="G50" t="s">
        <v>325</v>
      </c>
      <c r="H50">
        <v>999960000</v>
      </c>
      <c r="I50">
        <f>Cleaned_Data[[#This Row],[Volume (24h) USD]]/Cleaned_Data[[#This Row],[Circulating_Supply($)]]</f>
        <v>1.0239124564982599E-2</v>
      </c>
      <c r="J50">
        <f>RANK(Cleaned_Data[[#This Row],[Market Cap]],Cleaned_Data[Market Cap],0)</f>
        <v>49</v>
      </c>
      <c r="K50" t="str">
        <f t="shared" si="1"/>
        <v>0-0.5</v>
      </c>
      <c r="L50">
        <f>Cleaned_Data[[#This Row],[1h Change (%)]]*24</f>
        <v>9.1200000000000003E-2</v>
      </c>
      <c r="M50">
        <f>Cleaned_Data[[#This Row],[24h Change (%)]]*7</f>
        <v>0.63840000000000008</v>
      </c>
      <c r="N50" t="str" cm="1">
        <f t="array" ref="N50">_xlfn.IFS(Cleaned_Data[[#This Row],[Price (USD)]]&lt;0.05,"0 - 0.05",Cleaned_Data[[#This Row],[Price (USD)]]&lt;0.5,"0.05 - 0.5",Cleaned_Data[[#This Row],[Price (USD)]]&lt;5,"0.5 - 5",Cleaned_Data[[#This Row],[Price (USD)]]&lt;50,"5 - 50",Cleaned_Data[[#This Row],[Price (USD)]]&gt;=50,"&gt; 50")</f>
        <v>0.05 - 0.5</v>
      </c>
      <c r="O50">
        <f>(Cleaned_Data[[#This Row],[1h Change (%)]]+Cleaned_Data[[#This Row],[24h Change (%)]]+Cleaned_Data[[#This Row],[7d Change (%)]])/3</f>
        <v>0.24446666666666669</v>
      </c>
      <c r="P50">
        <f>Cleaned_Data[[#This Row],[Price (USD)]]/(1+Cleaned_Data[[#This Row],[1h Change (%)]]/100)</f>
        <v>8.5396754923312918E-2</v>
      </c>
      <c r="Q50">
        <f>Cleaned_Data[[#This Row],[Price (USD)]]/(1-Cleaned_Data[[#This Row],[24h Change (%)]]/100)</f>
        <v>8.5477955895776961E-2</v>
      </c>
      <c r="R50">
        <f>Cleaned_Data[[#This Row],[Price (USD)]]/(1+Cleaned_Data[[#This Row],[7d Change (%)]]/100)</f>
        <v>8.4858264837278818E-2</v>
      </c>
      <c r="S50">
        <f>Cleaned_Data[[#This Row],[Price (USD)]]-Cleaned_Data[[#This Row],[1-Hour Before Price]]</f>
        <v>3.2450766870861791E-6</v>
      </c>
    </row>
    <row r="51" spans="1:19" x14ac:dyDescent="0.3">
      <c r="A51" t="s">
        <v>332</v>
      </c>
      <c r="B51" t="s">
        <v>333</v>
      </c>
      <c r="C51">
        <v>3.1399999999999997E-2</v>
      </c>
      <c r="D51">
        <v>7.7000000000000002E-3</v>
      </c>
      <c r="E51">
        <v>62836837</v>
      </c>
      <c r="F51">
        <v>13787251</v>
      </c>
      <c r="G51" t="s">
        <v>338</v>
      </c>
      <c r="H51">
        <v>2000000000</v>
      </c>
      <c r="I51">
        <f>Cleaned_Data[[#This Row],[Volume (24h) USD]]/Cleaned_Data[[#This Row],[Circulating_Supply($)]]</f>
        <v>6.8936255000000002E-3</v>
      </c>
      <c r="J51">
        <f>RANK(Cleaned_Data[[#This Row],[Market Cap]],Cleaned_Data[Market Cap],0)</f>
        <v>50</v>
      </c>
      <c r="K51" t="str">
        <f t="shared" si="1"/>
        <v>0-0.5</v>
      </c>
      <c r="L51">
        <f>Cleaned_Data[[#This Row],[1h Change (%)]]*24</f>
        <v>0.18480000000000002</v>
      </c>
      <c r="M51">
        <f>Cleaned_Data[[#This Row],[24h Change (%)]]*7</f>
        <v>1.2936000000000001</v>
      </c>
      <c r="N51" t="str" cm="1">
        <f t="array" ref="N51">_xlfn.IFS(Cleaned_Data[[#This Row],[Price (USD)]]&lt;0.05,"0 - 0.05",Cleaned_Data[[#This Row],[Price (USD)]]&lt;0.5,"0.05 - 0.5",Cleaned_Data[[#This Row],[Price (USD)]]&lt;5,"0.5 - 5",Cleaned_Data[[#This Row],[Price (USD)]]&lt;50,"5 - 50",Cleaned_Data[[#This Row],[Price (USD)]]&gt;=50,"&gt; 50")</f>
        <v>0 - 0.05</v>
      </c>
      <c r="O51">
        <f>(Cleaned_Data[[#This Row],[1h Change (%)]]+Cleaned_Data[[#This Row],[24h Change (%)]]+Cleaned_Data[[#This Row],[7d Change (%)]])/3</f>
        <v>0.49536666666666673</v>
      </c>
      <c r="P51">
        <f>Cleaned_Data[[#This Row],[Price (USD)]]/(1+Cleaned_Data[[#This Row],[1h Change (%)]]/100)</f>
        <v>3.139758238615626E-2</v>
      </c>
      <c r="Q51">
        <f>Cleaned_Data[[#This Row],[Price (USD)]]/(1-Cleaned_Data[[#This Row],[24h Change (%)]]/100)</f>
        <v>3.1458134632801414E-2</v>
      </c>
      <c r="R51">
        <f>Cleaned_Data[[#This Row],[Price (USD)]]/(1+Cleaned_Data[[#This Row],[7d Change (%)]]/100)</f>
        <v>3.0998996975129717E-2</v>
      </c>
      <c r="S51">
        <f>Cleaned_Data[[#This Row],[Price (USD)]]-Cleaned_Data[[#This Row],[1-Hour Before Price]]</f>
        <v>2.4176138437373429E-6</v>
      </c>
    </row>
    <row r="52" spans="1:19" x14ac:dyDescent="0.3">
      <c r="A52" t="s">
        <v>339</v>
      </c>
      <c r="B52" t="s">
        <v>340</v>
      </c>
      <c r="C52">
        <v>0.72919999999999996</v>
      </c>
      <c r="D52">
        <v>8.9999999999999998E-4</v>
      </c>
      <c r="E52">
        <v>62825935</v>
      </c>
      <c r="F52">
        <v>1249114</v>
      </c>
      <c r="G52" t="s">
        <v>345</v>
      </c>
      <c r="H52">
        <v>86140000</v>
      </c>
      <c r="I52">
        <f>Cleaned_Data[[#This Row],[Volume (24h) USD]]/Cleaned_Data[[#This Row],[Circulating_Supply($)]]</f>
        <v>1.4500975156721616E-2</v>
      </c>
      <c r="J52">
        <f>RANK(Cleaned_Data[[#This Row],[Market Cap]],Cleaned_Data[Market Cap],0)</f>
        <v>51</v>
      </c>
      <c r="K52" t="str">
        <f t="shared" si="1"/>
        <v>0.5-1</v>
      </c>
      <c r="L52">
        <f>Cleaned_Data[[#This Row],[1h Change (%)]]*24</f>
        <v>2.1600000000000001E-2</v>
      </c>
      <c r="M52">
        <f>Cleaned_Data[[#This Row],[24h Change (%)]]*7</f>
        <v>0.1512</v>
      </c>
      <c r="N52" t="str" cm="1">
        <f t="array" ref="N52">_xlfn.IFS(Cleaned_Data[[#This Row],[Price (USD)]]&lt;0.05,"0 - 0.05",Cleaned_Data[[#This Row],[Price (USD)]]&lt;0.5,"0.05 - 0.5",Cleaned_Data[[#This Row],[Price (USD)]]&lt;5,"0.5 - 5",Cleaned_Data[[#This Row],[Price (USD)]]&lt;50,"5 - 50",Cleaned_Data[[#This Row],[Price (USD)]]&gt;=50,"&gt; 50")</f>
        <v>0.5 - 5</v>
      </c>
      <c r="O52">
        <f>(Cleaned_Data[[#This Row],[1h Change (%)]]+Cleaned_Data[[#This Row],[24h Change (%)]]+Cleaned_Data[[#This Row],[7d Change (%)]])/3</f>
        <v>5.79E-2</v>
      </c>
      <c r="P52">
        <f>Cleaned_Data[[#This Row],[Price (USD)]]/(1+Cleaned_Data[[#This Row],[1h Change (%)]]/100)</f>
        <v>0.72919343725906471</v>
      </c>
      <c r="Q52">
        <f>Cleaned_Data[[#This Row],[Price (USD)]]/(1-Cleaned_Data[[#This Row],[24h Change (%)]]/100)</f>
        <v>0.72935754122890539</v>
      </c>
      <c r="R52">
        <f>Cleaned_Data[[#This Row],[Price (USD)]]/(1+Cleaned_Data[[#This Row],[7d Change (%)]]/100)</f>
        <v>0.72809911413942119</v>
      </c>
      <c r="S52">
        <f>Cleaned_Data[[#This Row],[Price (USD)]]-Cleaned_Data[[#This Row],[1-Hour Before Price]]</f>
        <v>6.562740935245337E-6</v>
      </c>
    </row>
    <row r="53" spans="1:19" x14ac:dyDescent="0.3">
      <c r="A53" t="s">
        <v>346</v>
      </c>
      <c r="B53" t="s">
        <v>347</v>
      </c>
      <c r="C53">
        <v>8.0000000000000002E-3</v>
      </c>
      <c r="D53">
        <v>5.1999999999999998E-3</v>
      </c>
      <c r="E53">
        <v>62746080</v>
      </c>
      <c r="F53">
        <v>5327551</v>
      </c>
      <c r="G53" t="s">
        <v>351</v>
      </c>
      <c r="H53">
        <v>7800000000</v>
      </c>
      <c r="I53">
        <f>Cleaned_Data[[#This Row],[Volume (24h) USD]]/Cleaned_Data[[#This Row],[Circulating_Supply($)]]</f>
        <v>6.8301935897435901E-4</v>
      </c>
      <c r="J53">
        <f>RANK(Cleaned_Data[[#This Row],[Market Cap]],Cleaned_Data[Market Cap],0)</f>
        <v>52</v>
      </c>
      <c r="K53" t="str">
        <f t="shared" si="1"/>
        <v>0-0.5</v>
      </c>
      <c r="L53">
        <f>Cleaned_Data[[#This Row],[1h Change (%)]]*24</f>
        <v>0.12479999999999999</v>
      </c>
      <c r="M53">
        <f>Cleaned_Data[[#This Row],[24h Change (%)]]*7</f>
        <v>0.87359999999999993</v>
      </c>
      <c r="N53" t="str" cm="1">
        <f t="array" ref="N53">_xlfn.IFS(Cleaned_Data[[#This Row],[Price (USD)]]&lt;0.05,"0 - 0.05",Cleaned_Data[[#This Row],[Price (USD)]]&lt;0.5,"0.05 - 0.5",Cleaned_Data[[#This Row],[Price (USD)]]&lt;5,"0.5 - 5",Cleaned_Data[[#This Row],[Price (USD)]]&lt;50,"5 - 50",Cleaned_Data[[#This Row],[Price (USD)]]&gt;=50,"&gt; 50")</f>
        <v>0 - 0.05</v>
      </c>
      <c r="O53">
        <f>(Cleaned_Data[[#This Row],[1h Change (%)]]+Cleaned_Data[[#This Row],[24h Change (%)]]+Cleaned_Data[[#This Row],[7d Change (%)]])/3</f>
        <v>0.33453333333333335</v>
      </c>
      <c r="P53">
        <f>Cleaned_Data[[#This Row],[Price (USD)]]/(1+Cleaned_Data[[#This Row],[1h Change (%)]]/100)</f>
        <v>7.9995840216308765E-3</v>
      </c>
      <c r="Q53">
        <f>Cleaned_Data[[#This Row],[Price (USD)]]/(1-Cleaned_Data[[#This Row],[24h Change (%)]]/100)</f>
        <v>8.0099964756015513E-3</v>
      </c>
      <c r="R53">
        <f>Cleaned_Data[[#This Row],[Price (USD)]]/(1+Cleaned_Data[[#This Row],[7d Change (%)]]/100)</f>
        <v>7.9307172540684576E-3</v>
      </c>
      <c r="S53">
        <f>Cleaned_Data[[#This Row],[Price (USD)]]-Cleaned_Data[[#This Row],[1-Hour Before Price]]</f>
        <v>4.1597836912370123E-7</v>
      </c>
    </row>
    <row r="54" spans="1:19" x14ac:dyDescent="0.3">
      <c r="A54" t="s">
        <v>352</v>
      </c>
      <c r="B54" t="s">
        <v>353</v>
      </c>
      <c r="C54">
        <v>7.9799999999999996E-2</v>
      </c>
      <c r="D54">
        <v>6.9999999999999999E-4</v>
      </c>
      <c r="E54">
        <v>62547790</v>
      </c>
      <c r="F54">
        <v>9047350</v>
      </c>
      <c r="G54" t="s">
        <v>357</v>
      </c>
      <c r="H54">
        <v>783570000</v>
      </c>
      <c r="I54">
        <f>Cleaned_Data[[#This Row],[Volume (24h) USD]]/Cleaned_Data[[#This Row],[Circulating_Supply($)]]</f>
        <v>1.1546320047985502E-2</v>
      </c>
      <c r="J54">
        <f>RANK(Cleaned_Data[[#This Row],[Market Cap]],Cleaned_Data[Market Cap],0)</f>
        <v>53</v>
      </c>
      <c r="K54" t="str">
        <f t="shared" si="1"/>
        <v>0-0.5</v>
      </c>
      <c r="L54">
        <f>Cleaned_Data[[#This Row],[1h Change (%)]]*24</f>
        <v>1.6799999999999999E-2</v>
      </c>
      <c r="M54">
        <f>Cleaned_Data[[#This Row],[24h Change (%)]]*7</f>
        <v>0.1176</v>
      </c>
      <c r="N54" t="str" cm="1">
        <f t="array" ref="N54">_xlfn.IFS(Cleaned_Data[[#This Row],[Price (USD)]]&lt;0.05,"0 - 0.05",Cleaned_Data[[#This Row],[Price (USD)]]&lt;0.5,"0.05 - 0.5",Cleaned_Data[[#This Row],[Price (USD)]]&lt;5,"0.5 - 5",Cleaned_Data[[#This Row],[Price (USD)]]&lt;50,"5 - 50",Cleaned_Data[[#This Row],[Price (USD)]]&gt;=50,"&gt; 50")</f>
        <v>0.05 - 0.5</v>
      </c>
      <c r="O54">
        <f>(Cleaned_Data[[#This Row],[1h Change (%)]]+Cleaned_Data[[#This Row],[24h Change (%)]]+Cleaned_Data[[#This Row],[7d Change (%)]])/3</f>
        <v>4.5033333333333335E-2</v>
      </c>
      <c r="P54">
        <f>Cleaned_Data[[#This Row],[Price (USD)]]/(1+Cleaned_Data[[#This Row],[1h Change (%)]]/100)</f>
        <v>7.9799441403910168E-2</v>
      </c>
      <c r="Q54">
        <f>Cleaned_Data[[#This Row],[Price (USD)]]/(1-Cleaned_Data[[#This Row],[24h Change (%)]]/100)</f>
        <v>7.9813408652653642E-2</v>
      </c>
      <c r="R54">
        <f>Cleaned_Data[[#This Row],[Price (USD)]]/(1+Cleaned_Data[[#This Row],[7d Change (%)]]/100)</f>
        <v>7.9706265431852136E-2</v>
      </c>
      <c r="S54">
        <f>Cleaned_Data[[#This Row],[Price (USD)]]-Cleaned_Data[[#This Row],[1-Hour Before Price]]</f>
        <v>5.5859608982800069E-7</v>
      </c>
    </row>
    <row r="55" spans="1:19" x14ac:dyDescent="0.3">
      <c r="A55" t="s">
        <v>358</v>
      </c>
      <c r="B55" t="s">
        <v>359</v>
      </c>
      <c r="C55">
        <v>2.8999999999999998E-3</v>
      </c>
      <c r="D55">
        <v>8.0000000000000004E-4</v>
      </c>
      <c r="E55">
        <v>62328087</v>
      </c>
      <c r="F55">
        <v>2058149</v>
      </c>
      <c r="G55" t="s">
        <v>364</v>
      </c>
      <c r="H55">
        <v>21290000000</v>
      </c>
      <c r="I55">
        <f>Cleaned_Data[[#This Row],[Volume (24h) USD]]/Cleaned_Data[[#This Row],[Circulating_Supply($)]]</f>
        <v>9.6672099577266326E-5</v>
      </c>
      <c r="J55">
        <f>RANK(Cleaned_Data[[#This Row],[Market Cap]],Cleaned_Data[Market Cap],0)</f>
        <v>54</v>
      </c>
      <c r="K55" t="str">
        <f t="shared" si="1"/>
        <v>0-0.5</v>
      </c>
      <c r="L55">
        <f>Cleaned_Data[[#This Row],[1h Change (%)]]*24</f>
        <v>1.9200000000000002E-2</v>
      </c>
      <c r="M55">
        <f>Cleaned_Data[[#This Row],[24h Change (%)]]*7</f>
        <v>0.13440000000000002</v>
      </c>
      <c r="N55" t="str" cm="1">
        <f t="array" ref="N55">_xlfn.IFS(Cleaned_Data[[#This Row],[Price (USD)]]&lt;0.05,"0 - 0.05",Cleaned_Data[[#This Row],[Price (USD)]]&lt;0.5,"0.05 - 0.5",Cleaned_Data[[#This Row],[Price (USD)]]&lt;5,"0.5 - 5",Cleaned_Data[[#This Row],[Price (USD)]]&lt;50,"5 - 50",Cleaned_Data[[#This Row],[Price (USD)]]&gt;=50,"&gt; 50")</f>
        <v>0 - 0.05</v>
      </c>
      <c r="O55">
        <f>(Cleaned_Data[[#This Row],[1h Change (%)]]+Cleaned_Data[[#This Row],[24h Change (%)]]+Cleaned_Data[[#This Row],[7d Change (%)]])/3</f>
        <v>5.1466666666666668E-2</v>
      </c>
      <c r="P55">
        <f>Cleaned_Data[[#This Row],[Price (USD)]]/(1+Cleaned_Data[[#This Row],[1h Change (%)]]/100)</f>
        <v>2.8999768001855982E-3</v>
      </c>
      <c r="Q55">
        <f>Cleaned_Data[[#This Row],[Price (USD)]]/(1-Cleaned_Data[[#This Row],[24h Change (%)]]/100)</f>
        <v>2.9005569069261296E-3</v>
      </c>
      <c r="R55">
        <f>Cleaned_Data[[#This Row],[Price (USD)]]/(1+Cleaned_Data[[#This Row],[7d Change (%)]]/100)</f>
        <v>2.8961076313434742E-3</v>
      </c>
      <c r="S55">
        <f>Cleaned_Data[[#This Row],[Price (USD)]]-Cleaned_Data[[#This Row],[1-Hour Before Price]]</f>
        <v>2.3199814401606705E-8</v>
      </c>
    </row>
    <row r="56" spans="1:19" x14ac:dyDescent="0.3">
      <c r="A56" t="s">
        <v>365</v>
      </c>
      <c r="B56" t="s">
        <v>366</v>
      </c>
      <c r="C56">
        <v>11.79</v>
      </c>
      <c r="D56">
        <v>2.3999999999999998E-3</v>
      </c>
      <c r="E56">
        <v>62064898</v>
      </c>
      <c r="F56">
        <v>76515</v>
      </c>
      <c r="G56" t="s">
        <v>370</v>
      </c>
      <c r="H56">
        <v>5260000</v>
      </c>
      <c r="I56">
        <f>Cleaned_Data[[#This Row],[Volume (24h) USD]]/Cleaned_Data[[#This Row],[Circulating_Supply($)]]</f>
        <v>1.4546577946768061E-2</v>
      </c>
      <c r="J56">
        <f>RANK(Cleaned_Data[[#This Row],[Market Cap]],Cleaned_Data[Market Cap],0)</f>
        <v>55</v>
      </c>
      <c r="K56" t="str">
        <f t="shared" si="1"/>
        <v>10-100</v>
      </c>
      <c r="L56">
        <f>Cleaned_Data[[#This Row],[1h Change (%)]]*24</f>
        <v>5.7599999999999998E-2</v>
      </c>
      <c r="M56">
        <f>Cleaned_Data[[#This Row],[24h Change (%)]]*7</f>
        <v>0.4032</v>
      </c>
      <c r="N56" t="str" cm="1">
        <f t="array" ref="N56">_xlfn.IFS(Cleaned_Data[[#This Row],[Price (USD)]]&lt;0.05,"0 - 0.05",Cleaned_Data[[#This Row],[Price (USD)]]&lt;0.5,"0.05 - 0.5",Cleaned_Data[[#This Row],[Price (USD)]]&lt;5,"0.5 - 5",Cleaned_Data[[#This Row],[Price (USD)]]&lt;50,"5 - 50",Cleaned_Data[[#This Row],[Price (USD)]]&gt;=50,"&gt; 50")</f>
        <v>5 - 50</v>
      </c>
      <c r="O56">
        <f>(Cleaned_Data[[#This Row],[1h Change (%)]]+Cleaned_Data[[#This Row],[24h Change (%)]]+Cleaned_Data[[#This Row],[7d Change (%)]])/3</f>
        <v>0.15440000000000001</v>
      </c>
      <c r="P56">
        <f>Cleaned_Data[[#This Row],[Price (USD)]]/(1+Cleaned_Data[[#This Row],[1h Change (%)]]/100)</f>
        <v>11.789717046790877</v>
      </c>
      <c r="Q56">
        <f>Cleaned_Data[[#This Row],[Price (USD)]]/(1-Cleaned_Data[[#This Row],[24h Change (%)]]/100)</f>
        <v>11.796794953893443</v>
      </c>
      <c r="R56">
        <f>Cleaned_Data[[#This Row],[Price (USD)]]/(1+Cleaned_Data[[#This Row],[7d Change (%)]]/100)</f>
        <v>11.742653620601732</v>
      </c>
      <c r="S56">
        <f>Cleaned_Data[[#This Row],[Price (USD)]]-Cleaned_Data[[#This Row],[1-Hour Before Price]]</f>
        <v>2.8295320912263833E-4</v>
      </c>
    </row>
    <row r="57" spans="1:19" x14ac:dyDescent="0.3">
      <c r="A57" t="s">
        <v>371</v>
      </c>
      <c r="B57" t="s">
        <v>372</v>
      </c>
      <c r="C57">
        <v>0.18160000000000001</v>
      </c>
      <c r="D57">
        <v>2.0999999999999999E-3</v>
      </c>
      <c r="E57">
        <v>61786840</v>
      </c>
      <c r="F57">
        <v>8267657</v>
      </c>
      <c r="G57" t="s">
        <v>377</v>
      </c>
      <c r="H57">
        <v>340130000</v>
      </c>
      <c r="I57">
        <f>Cleaned_Data[[#This Row],[Volume (24h) USD]]/Cleaned_Data[[#This Row],[Circulating_Supply($)]]</f>
        <v>2.4307344250727662E-2</v>
      </c>
      <c r="J57">
        <f>RANK(Cleaned_Data[[#This Row],[Market Cap]],Cleaned_Data[Market Cap],0)</f>
        <v>56</v>
      </c>
      <c r="K57" t="str">
        <f t="shared" si="1"/>
        <v>0-0.5</v>
      </c>
      <c r="L57">
        <f>Cleaned_Data[[#This Row],[1h Change (%)]]*24</f>
        <v>5.04E-2</v>
      </c>
      <c r="M57">
        <f>Cleaned_Data[[#This Row],[24h Change (%)]]*7</f>
        <v>0.3528</v>
      </c>
      <c r="N57" t="str" cm="1">
        <f t="array" ref="N57">_xlfn.IFS(Cleaned_Data[[#This Row],[Price (USD)]]&lt;0.05,"0 - 0.05",Cleaned_Data[[#This Row],[Price (USD)]]&lt;0.5,"0.05 - 0.5",Cleaned_Data[[#This Row],[Price (USD)]]&lt;5,"0.5 - 5",Cleaned_Data[[#This Row],[Price (USD)]]&lt;50,"5 - 50",Cleaned_Data[[#This Row],[Price (USD)]]&gt;=50,"&gt; 50")</f>
        <v>0.05 - 0.5</v>
      </c>
      <c r="O57">
        <f>(Cleaned_Data[[#This Row],[1h Change (%)]]+Cleaned_Data[[#This Row],[24h Change (%)]]+Cleaned_Data[[#This Row],[7d Change (%)]])/3</f>
        <v>0.1351</v>
      </c>
      <c r="P57">
        <f>Cleaned_Data[[#This Row],[Price (USD)]]/(1+Cleaned_Data[[#This Row],[1h Change (%)]]/100)</f>
        <v>0.18159618648008391</v>
      </c>
      <c r="Q57">
        <f>Cleaned_Data[[#This Row],[Price (USD)]]/(1-Cleaned_Data[[#This Row],[24h Change (%)]]/100)</f>
        <v>0.18169157255256649</v>
      </c>
      <c r="R57">
        <f>Cleaned_Data[[#This Row],[Price (USD)]]/(1+Cleaned_Data[[#This Row],[7d Change (%)]]/100)</f>
        <v>0.1809615675895441</v>
      </c>
      <c r="S57">
        <f>Cleaned_Data[[#This Row],[Price (USD)]]-Cleaned_Data[[#This Row],[1-Hour Before Price]]</f>
        <v>3.8135199161015709E-6</v>
      </c>
    </row>
    <row r="58" spans="1:19" x14ac:dyDescent="0.3">
      <c r="A58" t="s">
        <v>378</v>
      </c>
      <c r="B58" t="s">
        <v>379</v>
      </c>
      <c r="C58">
        <v>10.119999999999999</v>
      </c>
      <c r="D58">
        <v>2.0999999999999999E-3</v>
      </c>
      <c r="E58">
        <v>61648001</v>
      </c>
      <c r="F58">
        <v>27805860</v>
      </c>
      <c r="G58" t="s">
        <v>383</v>
      </c>
      <c r="H58">
        <v>6090000</v>
      </c>
      <c r="I58">
        <f>Cleaned_Data[[#This Row],[Volume (24h) USD]]/Cleaned_Data[[#This Row],[Circulating_Supply($)]]</f>
        <v>4.5658226600985223</v>
      </c>
      <c r="J58">
        <f>RANK(Cleaned_Data[[#This Row],[Market Cap]],Cleaned_Data[Market Cap],0)</f>
        <v>57</v>
      </c>
      <c r="K58" t="str">
        <f t="shared" si="1"/>
        <v>10-100</v>
      </c>
      <c r="L58">
        <f>Cleaned_Data[[#This Row],[1h Change (%)]]*24</f>
        <v>5.04E-2</v>
      </c>
      <c r="M58">
        <f>Cleaned_Data[[#This Row],[24h Change (%)]]*7</f>
        <v>0.3528</v>
      </c>
      <c r="N58" t="str" cm="1">
        <f t="array" ref="N58">_xlfn.IFS(Cleaned_Data[[#This Row],[Price (USD)]]&lt;0.05,"0 - 0.05",Cleaned_Data[[#This Row],[Price (USD)]]&lt;0.5,"0.05 - 0.5",Cleaned_Data[[#This Row],[Price (USD)]]&lt;5,"0.5 - 5",Cleaned_Data[[#This Row],[Price (USD)]]&lt;50,"5 - 50",Cleaned_Data[[#This Row],[Price (USD)]]&gt;=50,"&gt; 50")</f>
        <v>5 - 50</v>
      </c>
      <c r="O58">
        <f>(Cleaned_Data[[#This Row],[1h Change (%)]]+Cleaned_Data[[#This Row],[24h Change (%)]]+Cleaned_Data[[#This Row],[7d Change (%)]])/3</f>
        <v>0.1351</v>
      </c>
      <c r="P58">
        <f>Cleaned_Data[[#This Row],[Price (USD)]]/(1+Cleaned_Data[[#This Row],[1h Change (%)]]/100)</f>
        <v>10.119787484462824</v>
      </c>
      <c r="Q58">
        <f>Cleaned_Data[[#This Row],[Price (USD)]]/(1-Cleaned_Data[[#This Row],[24h Change (%)]]/100)</f>
        <v>10.125103051938176</v>
      </c>
      <c r="R58">
        <f>Cleaned_Data[[#This Row],[Price (USD)]]/(1+Cleaned_Data[[#This Row],[7d Change (%)]]/100)</f>
        <v>10.084422158624372</v>
      </c>
      <c r="S58">
        <f>Cleaned_Data[[#This Row],[Price (USD)]]-Cleaned_Data[[#This Row],[1-Hour Before Price]]</f>
        <v>2.1251553717505089E-4</v>
      </c>
    </row>
    <row r="59" spans="1:19" x14ac:dyDescent="0.3">
      <c r="A59" t="s">
        <v>384</v>
      </c>
      <c r="B59" t="s">
        <v>385</v>
      </c>
      <c r="C59">
        <v>5.1999999999999998E-3</v>
      </c>
      <c r="D59">
        <v>1.4E-3</v>
      </c>
      <c r="E59">
        <v>61619476</v>
      </c>
      <c r="F59">
        <v>213098</v>
      </c>
      <c r="G59" t="s">
        <v>390</v>
      </c>
      <c r="H59">
        <v>11820000000</v>
      </c>
      <c r="I59">
        <f>Cleaned_Data[[#This Row],[Volume (24h) USD]]/Cleaned_Data[[#This Row],[Circulating_Supply($)]]</f>
        <v>1.8028595600676818E-5</v>
      </c>
      <c r="J59">
        <f>RANK(Cleaned_Data[[#This Row],[Market Cap]],Cleaned_Data[Market Cap],0)</f>
        <v>58</v>
      </c>
      <c r="K59" t="str">
        <f t="shared" si="1"/>
        <v>0-0.5</v>
      </c>
      <c r="L59">
        <f>Cleaned_Data[[#This Row],[1h Change (%)]]*24</f>
        <v>3.3599999999999998E-2</v>
      </c>
      <c r="M59">
        <f>Cleaned_Data[[#This Row],[24h Change (%)]]*7</f>
        <v>0.23519999999999999</v>
      </c>
      <c r="N59" t="str" cm="1">
        <f t="array" ref="N59">_xlfn.IFS(Cleaned_Data[[#This Row],[Price (USD)]]&lt;0.05,"0 - 0.05",Cleaned_Data[[#This Row],[Price (USD)]]&lt;0.5,"0.05 - 0.5",Cleaned_Data[[#This Row],[Price (USD)]]&lt;5,"0.5 - 5",Cleaned_Data[[#This Row],[Price (USD)]]&lt;50,"5 - 50",Cleaned_Data[[#This Row],[Price (USD)]]&gt;=50,"&gt; 50")</f>
        <v>0 - 0.05</v>
      </c>
      <c r="O59">
        <f>(Cleaned_Data[[#This Row],[1h Change (%)]]+Cleaned_Data[[#This Row],[24h Change (%)]]+Cleaned_Data[[#This Row],[7d Change (%)]])/3</f>
        <v>9.006666666666667E-2</v>
      </c>
      <c r="P59">
        <f>Cleaned_Data[[#This Row],[Price (USD)]]/(1+Cleaned_Data[[#This Row],[1h Change (%)]]/100)</f>
        <v>5.1999272010191857E-3</v>
      </c>
      <c r="Q59">
        <f>Cleaned_Data[[#This Row],[Price (USD)]]/(1-Cleaned_Data[[#This Row],[24h Change (%)]]/100)</f>
        <v>5.2017477872565183E-3</v>
      </c>
      <c r="R59">
        <f>Cleaned_Data[[#This Row],[Price (USD)]]/(1+Cleaned_Data[[#This Row],[7d Change (%)]]/100)</f>
        <v>5.1877982984021584E-3</v>
      </c>
      <c r="S59">
        <f>Cleaned_Data[[#This Row],[Price (USD)]]-Cleaned_Data[[#This Row],[1-Hour Before Price]]</f>
        <v>7.2798980814067771E-8</v>
      </c>
    </row>
    <row r="60" spans="1:19" x14ac:dyDescent="0.3">
      <c r="A60" t="s">
        <v>391</v>
      </c>
      <c r="B60" t="s">
        <v>392</v>
      </c>
      <c r="C60">
        <v>2.17</v>
      </c>
      <c r="D60">
        <v>3.0999999999999999E-3</v>
      </c>
      <c r="E60">
        <v>61481343</v>
      </c>
      <c r="F60">
        <v>2564140</v>
      </c>
      <c r="G60" t="s">
        <v>397</v>
      </c>
      <c r="H60">
        <v>28300000</v>
      </c>
      <c r="I60">
        <f>Cleaned_Data[[#This Row],[Volume (24h) USD]]/Cleaned_Data[[#This Row],[Circulating_Supply($)]]</f>
        <v>9.0605653710247355E-2</v>
      </c>
      <c r="J60">
        <f>RANK(Cleaned_Data[[#This Row],[Market Cap]],Cleaned_Data[Market Cap],0)</f>
        <v>59</v>
      </c>
      <c r="K60" t="str">
        <f t="shared" si="1"/>
        <v>2-10</v>
      </c>
      <c r="L60">
        <f>Cleaned_Data[[#This Row],[1h Change (%)]]*24</f>
        <v>7.4399999999999994E-2</v>
      </c>
      <c r="M60">
        <f>Cleaned_Data[[#This Row],[24h Change (%)]]*7</f>
        <v>0.52079999999999993</v>
      </c>
      <c r="N60" t="str" cm="1">
        <f t="array" ref="N60">_xlfn.IFS(Cleaned_Data[[#This Row],[Price (USD)]]&lt;0.05,"0 - 0.05",Cleaned_Data[[#This Row],[Price (USD)]]&lt;0.5,"0.05 - 0.5",Cleaned_Data[[#This Row],[Price (USD)]]&lt;5,"0.5 - 5",Cleaned_Data[[#This Row],[Price (USD)]]&lt;50,"5 - 50",Cleaned_Data[[#This Row],[Price (USD)]]&gt;=50,"&gt; 50")</f>
        <v>0.5 - 5</v>
      </c>
      <c r="O60">
        <f>(Cleaned_Data[[#This Row],[1h Change (%)]]+Cleaned_Data[[#This Row],[24h Change (%)]]+Cleaned_Data[[#This Row],[7d Change (%)]])/3</f>
        <v>0.19943333333333332</v>
      </c>
      <c r="P60">
        <f>Cleaned_Data[[#This Row],[Price (USD)]]/(1+Cleaned_Data[[#This Row],[1h Change (%)]]/100)</f>
        <v>2.1699327320853055</v>
      </c>
      <c r="Q60">
        <f>Cleaned_Data[[#This Row],[Price (USD)]]/(1-Cleaned_Data[[#This Row],[24h Change (%)]]/100)</f>
        <v>2.1716156820674581</v>
      </c>
      <c r="R60">
        <f>Cleaned_Data[[#This Row],[Price (USD)]]/(1+Cleaned_Data[[#This Row],[7d Change (%)]]/100)</f>
        <v>2.1587571925412448</v>
      </c>
      <c r="S60">
        <f>Cleaned_Data[[#This Row],[Price (USD)]]-Cleaned_Data[[#This Row],[1-Hour Before Price]]</f>
        <v>6.72679146944688E-5</v>
      </c>
    </row>
    <row r="61" spans="1:19" x14ac:dyDescent="0.3">
      <c r="A61" t="s">
        <v>398</v>
      </c>
      <c r="B61" t="s">
        <v>399</v>
      </c>
      <c r="C61">
        <v>0.67269999999999996</v>
      </c>
      <c r="D61">
        <v>1.2999999999999999E-2</v>
      </c>
      <c r="E61">
        <v>45704968</v>
      </c>
      <c r="F61">
        <v>35491</v>
      </c>
      <c r="G61" t="s">
        <v>404</v>
      </c>
      <c r="H61">
        <v>67930000</v>
      </c>
      <c r="I61">
        <f>Cleaned_Data[[#This Row],[Volume (24h) USD]]/Cleaned_Data[[#This Row],[Circulating_Supply($)]]</f>
        <v>5.224643014868247E-4</v>
      </c>
      <c r="J61">
        <f>RANK(Cleaned_Data[[#This Row],[Market Cap]],Cleaned_Data[Market Cap],0)</f>
        <v>60</v>
      </c>
      <c r="K61" t="str">
        <f t="shared" si="1"/>
        <v>0.5-1</v>
      </c>
      <c r="L61">
        <f>Cleaned_Data[[#This Row],[1h Change (%)]]*24</f>
        <v>0.312</v>
      </c>
      <c r="M61">
        <f>Cleaned_Data[[#This Row],[24h Change (%)]]*7</f>
        <v>2.1840000000000002</v>
      </c>
      <c r="N61" t="str" cm="1">
        <f t="array" ref="N61">_xlfn.IFS(Cleaned_Data[[#This Row],[Price (USD)]]&lt;0.05,"0 - 0.05",Cleaned_Data[[#This Row],[Price (USD)]]&lt;0.5,"0.05 - 0.5",Cleaned_Data[[#This Row],[Price (USD)]]&lt;5,"0.5 - 5",Cleaned_Data[[#This Row],[Price (USD)]]&lt;50,"5 - 50",Cleaned_Data[[#This Row],[Price (USD)]]&gt;=50,"&gt; 50")</f>
        <v>0.5 - 5</v>
      </c>
      <c r="O61">
        <f>(Cleaned_Data[[#This Row],[1h Change (%)]]+Cleaned_Data[[#This Row],[24h Change (%)]]+Cleaned_Data[[#This Row],[7d Change (%)]])/3</f>
        <v>0.83633333333333348</v>
      </c>
      <c r="P61">
        <f>Cleaned_Data[[#This Row],[Price (USD)]]/(1+Cleaned_Data[[#This Row],[1h Change (%)]]/100)</f>
        <v>0.67261256036715222</v>
      </c>
      <c r="Q61">
        <f>Cleaned_Data[[#This Row],[Price (USD)]]/(1-Cleaned_Data[[#This Row],[24h Change (%)]]/100)</f>
        <v>0.67480539282561591</v>
      </c>
      <c r="R61">
        <f>Cleaned_Data[[#This Row],[Price (USD)]]/(1+Cleaned_Data[[#This Row],[7d Change (%)]]/100)</f>
        <v>0.65832224222970315</v>
      </c>
      <c r="S61">
        <f>Cleaned_Data[[#This Row],[Price (USD)]]-Cleaned_Data[[#This Row],[1-Hour Before Price]]</f>
        <v>8.7439632847741144E-5</v>
      </c>
    </row>
    <row r="62" spans="1:19" x14ac:dyDescent="0.3">
      <c r="A62" t="s">
        <v>1</v>
      </c>
      <c r="B62" t="s">
        <v>405</v>
      </c>
      <c r="C62">
        <v>7.4000000000000003E-3</v>
      </c>
      <c r="D62">
        <v>0</v>
      </c>
      <c r="E62">
        <v>45421680</v>
      </c>
      <c r="F62">
        <v>758766</v>
      </c>
      <c r="G62" t="s">
        <v>409</v>
      </c>
      <c r="H62">
        <v>6170000000</v>
      </c>
      <c r="I62">
        <f>Cleaned_Data[[#This Row],[Volume (24h) USD]]/Cleaned_Data[[#This Row],[Circulating_Supply($)]]</f>
        <v>1.2297666126418152E-4</v>
      </c>
      <c r="J62">
        <f>RANK(Cleaned_Data[[#This Row],[Market Cap]],Cleaned_Data[Market Cap],0)</f>
        <v>61</v>
      </c>
      <c r="K62" t="str">
        <f t="shared" si="1"/>
        <v>0-0.5</v>
      </c>
      <c r="L62">
        <f>Cleaned_Data[[#This Row],[1h Change (%)]]*24</f>
        <v>0</v>
      </c>
      <c r="M62">
        <f>Cleaned_Data[[#This Row],[24h Change (%)]]*7</f>
        <v>0</v>
      </c>
      <c r="N62" t="str" cm="1">
        <f t="array" ref="N62">_xlfn.IFS(Cleaned_Data[[#This Row],[Price (USD)]]&lt;0.05,"0 - 0.05",Cleaned_Data[[#This Row],[Price (USD)]]&lt;0.5,"0.05 - 0.5",Cleaned_Data[[#This Row],[Price (USD)]]&lt;5,"0.5 - 5",Cleaned_Data[[#This Row],[Price (USD)]]&lt;50,"5 - 50",Cleaned_Data[[#This Row],[Price (USD)]]&gt;=50,"&gt; 50")</f>
        <v>0 - 0.05</v>
      </c>
      <c r="O62">
        <f>(Cleaned_Data[[#This Row],[1h Change (%)]]+Cleaned_Data[[#This Row],[24h Change (%)]]+Cleaned_Data[[#This Row],[7d Change (%)]])/3</f>
        <v>0</v>
      </c>
      <c r="P62">
        <f>Cleaned_Data[[#This Row],[Price (USD)]]/(1+Cleaned_Data[[#This Row],[1h Change (%)]]/100)</f>
        <v>7.4000000000000003E-3</v>
      </c>
      <c r="Q62">
        <f>Cleaned_Data[[#This Row],[Price (USD)]]/(1-Cleaned_Data[[#This Row],[24h Change (%)]]/100)</f>
        <v>7.4000000000000003E-3</v>
      </c>
      <c r="R62">
        <f>Cleaned_Data[[#This Row],[Price (USD)]]/(1+Cleaned_Data[[#This Row],[7d Change (%)]]/100)</f>
        <v>7.4000000000000003E-3</v>
      </c>
      <c r="S62">
        <f>Cleaned_Data[[#This Row],[Price (USD)]]-Cleaned_Data[[#This Row],[1-Hour Before Price]]</f>
        <v>0</v>
      </c>
    </row>
    <row r="63" spans="1:19" x14ac:dyDescent="0.3">
      <c r="A63" t="s">
        <v>410</v>
      </c>
      <c r="B63" t="s">
        <v>411</v>
      </c>
      <c r="C63">
        <v>2.3599999999999999E-2</v>
      </c>
      <c r="D63">
        <v>1.6000000000000001E-3</v>
      </c>
      <c r="E63">
        <v>45403740</v>
      </c>
      <c r="F63">
        <v>10853972</v>
      </c>
      <c r="G63" t="s">
        <v>415</v>
      </c>
      <c r="H63">
        <v>1920000000</v>
      </c>
      <c r="I63">
        <f>Cleaned_Data[[#This Row],[Volume (24h) USD]]/Cleaned_Data[[#This Row],[Circulating_Supply($)]]</f>
        <v>5.6531104166666667E-3</v>
      </c>
      <c r="J63">
        <f>RANK(Cleaned_Data[[#This Row],[Market Cap]],Cleaned_Data[Market Cap],0)</f>
        <v>62</v>
      </c>
      <c r="K63" t="str">
        <f t="shared" si="1"/>
        <v>0-0.5</v>
      </c>
      <c r="L63">
        <f>Cleaned_Data[[#This Row],[1h Change (%)]]*24</f>
        <v>3.8400000000000004E-2</v>
      </c>
      <c r="M63">
        <f>Cleaned_Data[[#This Row],[24h Change (%)]]*7</f>
        <v>0.26880000000000004</v>
      </c>
      <c r="N63" t="str" cm="1">
        <f t="array" ref="N63">_xlfn.IFS(Cleaned_Data[[#This Row],[Price (USD)]]&lt;0.05,"0 - 0.05",Cleaned_Data[[#This Row],[Price (USD)]]&lt;0.5,"0.05 - 0.5",Cleaned_Data[[#This Row],[Price (USD)]]&lt;5,"0.5 - 5",Cleaned_Data[[#This Row],[Price (USD)]]&lt;50,"5 - 50",Cleaned_Data[[#This Row],[Price (USD)]]&gt;=50,"&gt; 50")</f>
        <v>0 - 0.05</v>
      </c>
      <c r="O63">
        <f>(Cleaned_Data[[#This Row],[1h Change (%)]]+Cleaned_Data[[#This Row],[24h Change (%)]]+Cleaned_Data[[#This Row],[7d Change (%)]])/3</f>
        <v>0.10293333333333334</v>
      </c>
      <c r="P63">
        <f>Cleaned_Data[[#This Row],[Price (USD)]]/(1+Cleaned_Data[[#This Row],[1h Change (%)]]/100)</f>
        <v>2.3599622406041503E-2</v>
      </c>
      <c r="Q63">
        <f>Cleaned_Data[[#This Row],[Price (USD)]]/(1-Cleaned_Data[[#This Row],[24h Change (%)]]/100)</f>
        <v>2.3609065881298418E-2</v>
      </c>
      <c r="R63">
        <f>Cleaned_Data[[#This Row],[Price (USD)]]/(1+Cleaned_Data[[#This Row],[7d Change (%)]]/100)</f>
        <v>2.3536733260994445E-2</v>
      </c>
      <c r="S63">
        <f>Cleaned_Data[[#This Row],[Price (USD)]]-Cleaned_Data[[#This Row],[1-Hour Before Price]]</f>
        <v>3.7759395849629174E-7</v>
      </c>
    </row>
    <row r="64" spans="1:19" x14ac:dyDescent="0.3">
      <c r="A64" t="s">
        <v>416</v>
      </c>
      <c r="B64" t="s">
        <v>417</v>
      </c>
      <c r="C64">
        <v>6.7400000000000002E-2</v>
      </c>
      <c r="D64">
        <v>1.1900000000000001E-2</v>
      </c>
      <c r="E64">
        <v>45353098</v>
      </c>
      <c r="F64">
        <v>19016000</v>
      </c>
      <c r="G64" t="s">
        <v>422</v>
      </c>
      <c r="H64">
        <v>672700000</v>
      </c>
      <c r="I64">
        <f>Cleaned_Data[[#This Row],[Volume (24h) USD]]/Cleaned_Data[[#This Row],[Circulating_Supply($)]]</f>
        <v>2.8268173034041919E-2</v>
      </c>
      <c r="J64">
        <f>RANK(Cleaned_Data[[#This Row],[Market Cap]],Cleaned_Data[Market Cap],0)</f>
        <v>63</v>
      </c>
      <c r="K64" t="str">
        <f t="shared" si="1"/>
        <v>0-0.5</v>
      </c>
      <c r="L64">
        <f>Cleaned_Data[[#This Row],[1h Change (%)]]*24</f>
        <v>0.28560000000000002</v>
      </c>
      <c r="M64">
        <f>Cleaned_Data[[#This Row],[24h Change (%)]]*7</f>
        <v>1.9992000000000001</v>
      </c>
      <c r="N64" t="str" cm="1">
        <f t="array" ref="N64">_xlfn.IFS(Cleaned_Data[[#This Row],[Price (USD)]]&lt;0.05,"0 - 0.05",Cleaned_Data[[#This Row],[Price (USD)]]&lt;0.5,"0.05 - 0.5",Cleaned_Data[[#This Row],[Price (USD)]]&lt;5,"0.5 - 5",Cleaned_Data[[#This Row],[Price (USD)]]&lt;50,"5 - 50",Cleaned_Data[[#This Row],[Price (USD)]]&gt;=50,"&gt; 50")</f>
        <v>0.05 - 0.5</v>
      </c>
      <c r="O64">
        <f>(Cleaned_Data[[#This Row],[1h Change (%)]]+Cleaned_Data[[#This Row],[24h Change (%)]]+Cleaned_Data[[#This Row],[7d Change (%)]])/3</f>
        <v>0.76556666666666662</v>
      </c>
      <c r="P64">
        <f>Cleaned_Data[[#This Row],[Price (USD)]]/(1+Cleaned_Data[[#This Row],[1h Change (%)]]/100)</f>
        <v>6.7391980354337841E-2</v>
      </c>
      <c r="Q64">
        <f>Cleaned_Data[[#This Row],[Price (USD)]]/(1-Cleaned_Data[[#This Row],[24h Change (%)]]/100)</f>
        <v>6.7593045738629523E-2</v>
      </c>
      <c r="R64">
        <f>Cleaned_Data[[#This Row],[Price (USD)]]/(1+Cleaned_Data[[#This Row],[7d Change (%)]]/100)</f>
        <v>6.6078949638820703E-2</v>
      </c>
      <c r="S64">
        <f>Cleaned_Data[[#This Row],[Price (USD)]]-Cleaned_Data[[#This Row],[1-Hour Before Price]]</f>
        <v>8.0196456621606238E-6</v>
      </c>
    </row>
    <row r="65" spans="1:19" x14ac:dyDescent="0.3">
      <c r="A65" t="s">
        <v>423</v>
      </c>
      <c r="B65" t="s">
        <v>424</v>
      </c>
      <c r="C65">
        <v>0.2525</v>
      </c>
      <c r="D65">
        <v>2.3999999999999998E-3</v>
      </c>
      <c r="E65">
        <v>45266206</v>
      </c>
      <c r="F65">
        <v>339268</v>
      </c>
      <c r="G65" t="s">
        <v>428</v>
      </c>
      <c r="H65">
        <v>179200000</v>
      </c>
      <c r="I65">
        <f>Cleaned_Data[[#This Row],[Volume (24h) USD]]/Cleaned_Data[[#This Row],[Circulating_Supply($)]]</f>
        <v>1.8932366071428572E-3</v>
      </c>
      <c r="J65">
        <f>RANK(Cleaned_Data[[#This Row],[Market Cap]],Cleaned_Data[Market Cap],0)</f>
        <v>64</v>
      </c>
      <c r="K65" t="str">
        <f t="shared" si="1"/>
        <v>0-0.5</v>
      </c>
      <c r="L65">
        <f>Cleaned_Data[[#This Row],[1h Change (%)]]*24</f>
        <v>5.7599999999999998E-2</v>
      </c>
      <c r="M65">
        <f>Cleaned_Data[[#This Row],[24h Change (%)]]*7</f>
        <v>0.4032</v>
      </c>
      <c r="N65" t="str" cm="1">
        <f t="array" ref="N65">_xlfn.IFS(Cleaned_Data[[#This Row],[Price (USD)]]&lt;0.05,"0 - 0.05",Cleaned_Data[[#This Row],[Price (USD)]]&lt;0.5,"0.05 - 0.5",Cleaned_Data[[#This Row],[Price (USD)]]&lt;5,"0.5 - 5",Cleaned_Data[[#This Row],[Price (USD)]]&lt;50,"5 - 50",Cleaned_Data[[#This Row],[Price (USD)]]&gt;=50,"&gt; 50")</f>
        <v>0.05 - 0.5</v>
      </c>
      <c r="O65">
        <f>(Cleaned_Data[[#This Row],[1h Change (%)]]+Cleaned_Data[[#This Row],[24h Change (%)]]+Cleaned_Data[[#This Row],[7d Change (%)]])/3</f>
        <v>0.15440000000000001</v>
      </c>
      <c r="P65">
        <f>Cleaned_Data[[#This Row],[Price (USD)]]/(1+Cleaned_Data[[#This Row],[1h Change (%)]]/100)</f>
        <v>0.25249394014543652</v>
      </c>
      <c r="Q65">
        <f>Cleaned_Data[[#This Row],[Price (USD)]]/(1-Cleaned_Data[[#This Row],[24h Change (%)]]/100)</f>
        <v>0.25264552382172134</v>
      </c>
      <c r="R65">
        <f>Cleaned_Data[[#This Row],[Price (USD)]]/(1+Cleaned_Data[[#This Row],[7d Change (%)]]/100)</f>
        <v>0.25148600841407442</v>
      </c>
      <c r="S65">
        <f>Cleaned_Data[[#This Row],[Price (USD)]]-Cleaned_Data[[#This Row],[1-Hour Before Price]]</f>
        <v>6.0598545634782397E-6</v>
      </c>
    </row>
    <row r="66" spans="1:19" x14ac:dyDescent="0.3">
      <c r="A66" t="s">
        <v>429</v>
      </c>
      <c r="B66" t="s">
        <v>430</v>
      </c>
      <c r="C66">
        <v>1.24E-2</v>
      </c>
      <c r="D66">
        <v>5.8999999999999999E-3</v>
      </c>
      <c r="E66">
        <v>45071702</v>
      </c>
      <c r="F66">
        <v>10189722</v>
      </c>
      <c r="G66" t="s">
        <v>434</v>
      </c>
      <c r="H66">
        <v>3640000000</v>
      </c>
      <c r="I66">
        <f>Cleaned_Data[[#This Row],[Volume (24h) USD]]/Cleaned_Data[[#This Row],[Circulating_Supply($)]]</f>
        <v>2.7993741758241758E-3</v>
      </c>
      <c r="J66">
        <f>RANK(Cleaned_Data[[#This Row],[Market Cap]],Cleaned_Data[Market Cap],0)</f>
        <v>65</v>
      </c>
      <c r="K66" t="str">
        <f t="shared" ref="K66:K97" si="2">IF(C66&lt;=0.5,"0-0.5",
IF(C66&lt;=1,"0.5-1",
IF(C66&lt;=2,"1-2",
IF(C66&lt;=10,"2-10",
IF(C66&lt;=100,"10-100",
IF(C66&lt;=10000,"100-10000",
"10000+"))))))</f>
        <v>0-0.5</v>
      </c>
      <c r="L66">
        <f>Cleaned_Data[[#This Row],[1h Change (%)]]*24</f>
        <v>0.1416</v>
      </c>
      <c r="M66">
        <f>Cleaned_Data[[#This Row],[24h Change (%)]]*7</f>
        <v>0.99120000000000008</v>
      </c>
      <c r="N66" t="str" cm="1">
        <f t="array" ref="N66">_xlfn.IFS(Cleaned_Data[[#This Row],[Price (USD)]]&lt;0.05,"0 - 0.05",Cleaned_Data[[#This Row],[Price (USD)]]&lt;0.5,"0.05 - 0.5",Cleaned_Data[[#This Row],[Price (USD)]]&lt;5,"0.5 - 5",Cleaned_Data[[#This Row],[Price (USD)]]&lt;50,"5 - 50",Cleaned_Data[[#This Row],[Price (USD)]]&gt;=50,"&gt; 50")</f>
        <v>0 - 0.05</v>
      </c>
      <c r="O66">
        <f>(Cleaned_Data[[#This Row],[1h Change (%)]]+Cleaned_Data[[#This Row],[24h Change (%)]]+Cleaned_Data[[#This Row],[7d Change (%)]])/3</f>
        <v>0.37956666666666666</v>
      </c>
      <c r="P66">
        <f>Cleaned_Data[[#This Row],[Price (USD)]]/(1+Cleaned_Data[[#This Row],[1h Change (%)]]/100)</f>
        <v>1.2399268443161852E-2</v>
      </c>
      <c r="Q66">
        <f>Cleaned_Data[[#This Row],[Price (USD)]]/(1-Cleaned_Data[[#This Row],[24h Change (%)]]/100)</f>
        <v>1.2417583297949897E-2</v>
      </c>
      <c r="R66">
        <f>Cleaned_Data[[#This Row],[Price (USD)]]/(1+Cleaned_Data[[#This Row],[7d Change (%)]]/100)</f>
        <v>1.2278297515031013E-2</v>
      </c>
      <c r="S66">
        <f>Cleaned_Data[[#This Row],[Price (USD)]]-Cleaned_Data[[#This Row],[1-Hour Before Price]]</f>
        <v>7.3155683814711547E-7</v>
      </c>
    </row>
    <row r="67" spans="1:19" x14ac:dyDescent="0.3">
      <c r="A67" t="s">
        <v>435</v>
      </c>
      <c r="B67" t="s">
        <v>436</v>
      </c>
      <c r="C67">
        <v>0.42049999999999998</v>
      </c>
      <c r="D67">
        <v>4.4999999999999997E-3</v>
      </c>
      <c r="E67">
        <v>45027836</v>
      </c>
      <c r="F67">
        <v>401821</v>
      </c>
      <c r="G67" t="s">
        <v>440</v>
      </c>
      <c r="H67">
        <v>107050000</v>
      </c>
      <c r="I67">
        <f>Cleaned_Data[[#This Row],[Volume (24h) USD]]/Cleaned_Data[[#This Row],[Circulating_Supply($)]]</f>
        <v>3.7535824381130312E-3</v>
      </c>
      <c r="J67">
        <f>RANK(Cleaned_Data[[#This Row],[Market Cap]],Cleaned_Data[Market Cap],0)</f>
        <v>66</v>
      </c>
      <c r="K67" t="str">
        <f t="shared" si="2"/>
        <v>0-0.5</v>
      </c>
      <c r="L67">
        <f>Cleaned_Data[[#This Row],[1h Change (%)]]*24</f>
        <v>0.10799999999999998</v>
      </c>
      <c r="M67">
        <f>Cleaned_Data[[#This Row],[24h Change (%)]]*7</f>
        <v>0.75599999999999989</v>
      </c>
      <c r="N67" t="str" cm="1">
        <f t="array" ref="N67">_xlfn.IFS(Cleaned_Data[[#This Row],[Price (USD)]]&lt;0.05,"0 - 0.05",Cleaned_Data[[#This Row],[Price (USD)]]&lt;0.5,"0.05 - 0.5",Cleaned_Data[[#This Row],[Price (USD)]]&lt;5,"0.5 - 5",Cleaned_Data[[#This Row],[Price (USD)]]&lt;50,"5 - 50",Cleaned_Data[[#This Row],[Price (USD)]]&gt;=50,"&gt; 50")</f>
        <v>0.05 - 0.5</v>
      </c>
      <c r="O67">
        <f>(Cleaned_Data[[#This Row],[1h Change (%)]]+Cleaned_Data[[#This Row],[24h Change (%)]]+Cleaned_Data[[#This Row],[7d Change (%)]])/3</f>
        <v>0.28949999999999992</v>
      </c>
      <c r="P67">
        <f>Cleaned_Data[[#This Row],[Price (USD)]]/(1+Cleaned_Data[[#This Row],[1h Change (%)]]/100)</f>
        <v>0.42048107835147414</v>
      </c>
      <c r="Q67">
        <f>Cleaned_Data[[#This Row],[Price (USD)]]/(1-Cleaned_Data[[#This Row],[24h Change (%)]]/100)</f>
        <v>0.42095463100148156</v>
      </c>
      <c r="R67">
        <f>Cleaned_Data[[#This Row],[Price (USD)]]/(1+Cleaned_Data[[#This Row],[7d Change (%)]]/100)</f>
        <v>0.41734487276191984</v>
      </c>
      <c r="S67">
        <f>Cleaned_Data[[#This Row],[Price (USD)]]-Cleaned_Data[[#This Row],[1-Hour Before Price]]</f>
        <v>1.8921648525849211E-5</v>
      </c>
    </row>
    <row r="68" spans="1:19" x14ac:dyDescent="0.3">
      <c r="A68" t="s">
        <v>446</v>
      </c>
      <c r="B68" t="s">
        <v>447</v>
      </c>
      <c r="C68">
        <v>1.01</v>
      </c>
      <c r="D68">
        <v>4.0000000000000001E-3</v>
      </c>
      <c r="E68">
        <v>44872405</v>
      </c>
      <c r="F68">
        <v>10068683</v>
      </c>
      <c r="G68" t="s">
        <v>452</v>
      </c>
      <c r="H68">
        <v>44050000</v>
      </c>
      <c r="I68">
        <f>Cleaned_Data[[#This Row],[Volume (24h) USD]]/Cleaned_Data[[#This Row],[Circulating_Supply($)]]</f>
        <v>0.22857396140749148</v>
      </c>
      <c r="J68">
        <f>RANK(Cleaned_Data[[#This Row],[Market Cap]],Cleaned_Data[Market Cap],0)</f>
        <v>67</v>
      </c>
      <c r="K68" t="str">
        <f t="shared" si="2"/>
        <v>1-2</v>
      </c>
      <c r="L68">
        <f>Cleaned_Data[[#This Row],[1h Change (%)]]*24</f>
        <v>9.6000000000000002E-2</v>
      </c>
      <c r="M68">
        <f>Cleaned_Data[[#This Row],[24h Change (%)]]*7</f>
        <v>0.67200000000000004</v>
      </c>
      <c r="N68" t="str" cm="1">
        <f t="array" ref="N68">_xlfn.IFS(Cleaned_Data[[#This Row],[Price (USD)]]&lt;0.05,"0 - 0.05",Cleaned_Data[[#This Row],[Price (USD)]]&lt;0.5,"0.05 - 0.5",Cleaned_Data[[#This Row],[Price (USD)]]&lt;5,"0.5 - 5",Cleaned_Data[[#This Row],[Price (USD)]]&lt;50,"5 - 50",Cleaned_Data[[#This Row],[Price (USD)]]&gt;=50,"&gt; 50")</f>
        <v>0.5 - 5</v>
      </c>
      <c r="O68">
        <f>(Cleaned_Data[[#This Row],[1h Change (%)]]+Cleaned_Data[[#This Row],[24h Change (%)]]+Cleaned_Data[[#This Row],[7d Change (%)]])/3</f>
        <v>0.25733333333333336</v>
      </c>
      <c r="P68">
        <f>Cleaned_Data[[#This Row],[Price (USD)]]/(1+Cleaned_Data[[#This Row],[1h Change (%)]]/100)</f>
        <v>1.0099596016159353</v>
      </c>
      <c r="Q68">
        <f>Cleaned_Data[[#This Row],[Price (USD)]]/(1-Cleaned_Data[[#This Row],[24h Change (%)]]/100)</f>
        <v>1.010970531710442</v>
      </c>
      <c r="R68">
        <f>Cleaned_Data[[#This Row],[Price (USD)]]/(1+Cleaned_Data[[#This Row],[7d Change (%)]]/100)</f>
        <v>1.0032581055308327</v>
      </c>
      <c r="S68">
        <f>Cleaned_Data[[#This Row],[Price (USD)]]-Cleaned_Data[[#This Row],[1-Hour Before Price]]</f>
        <v>4.0398384064666004E-5</v>
      </c>
    </row>
    <row r="69" spans="1:19" x14ac:dyDescent="0.3">
      <c r="A69" t="s">
        <v>453</v>
      </c>
      <c r="B69" t="s">
        <v>454</v>
      </c>
      <c r="C69">
        <v>0.249</v>
      </c>
      <c r="D69">
        <v>3.0999999999999999E-3</v>
      </c>
      <c r="E69">
        <v>44330157</v>
      </c>
      <c r="F69">
        <v>68082352</v>
      </c>
      <c r="G69" t="s">
        <v>458</v>
      </c>
      <c r="H69">
        <v>177960000</v>
      </c>
      <c r="I69">
        <f>Cleaned_Data[[#This Row],[Volume (24h) USD]]/Cleaned_Data[[#This Row],[Circulating_Supply($)]]</f>
        <v>0.38257109462800631</v>
      </c>
      <c r="J69">
        <f>RANK(Cleaned_Data[[#This Row],[Market Cap]],Cleaned_Data[Market Cap],0)</f>
        <v>68</v>
      </c>
      <c r="K69" t="str">
        <f t="shared" si="2"/>
        <v>0-0.5</v>
      </c>
      <c r="L69">
        <f>Cleaned_Data[[#This Row],[1h Change (%)]]*24</f>
        <v>7.4399999999999994E-2</v>
      </c>
      <c r="M69">
        <f>Cleaned_Data[[#This Row],[24h Change (%)]]*7</f>
        <v>0.52079999999999993</v>
      </c>
      <c r="N69" t="str" cm="1">
        <f t="array" ref="N69">_xlfn.IFS(Cleaned_Data[[#This Row],[Price (USD)]]&lt;0.05,"0 - 0.05",Cleaned_Data[[#This Row],[Price (USD)]]&lt;0.5,"0.05 - 0.5",Cleaned_Data[[#This Row],[Price (USD)]]&lt;5,"0.5 - 5",Cleaned_Data[[#This Row],[Price (USD)]]&lt;50,"5 - 50",Cleaned_Data[[#This Row],[Price (USD)]]&gt;=50,"&gt; 50")</f>
        <v>0.05 - 0.5</v>
      </c>
      <c r="O69">
        <f>(Cleaned_Data[[#This Row],[1h Change (%)]]+Cleaned_Data[[#This Row],[24h Change (%)]]+Cleaned_Data[[#This Row],[7d Change (%)]])/3</f>
        <v>0.19943333333333332</v>
      </c>
      <c r="P69">
        <f>Cleaned_Data[[#This Row],[Price (USD)]]/(1+Cleaned_Data[[#This Row],[1h Change (%)]]/100)</f>
        <v>0.2489922812392816</v>
      </c>
      <c r="Q69">
        <f>Cleaned_Data[[#This Row],[Price (USD)]]/(1-Cleaned_Data[[#This Row],[24h Change (%)]]/100)</f>
        <v>0.2491853939330862</v>
      </c>
      <c r="R69">
        <f>Cleaned_Data[[#This Row],[Price (USD)]]/(1+Cleaned_Data[[#This Row],[7d Change (%)]]/100)</f>
        <v>0.24770992670173733</v>
      </c>
      <c r="S69">
        <f>Cleaned_Data[[#This Row],[Price (USD)]]-Cleaned_Data[[#This Row],[1-Hour Before Price]]</f>
        <v>7.7187607183948348E-6</v>
      </c>
    </row>
    <row r="70" spans="1:19" x14ac:dyDescent="0.3">
      <c r="A70" t="s">
        <v>459</v>
      </c>
      <c r="B70" t="s">
        <v>460</v>
      </c>
      <c r="C70">
        <v>0.1618</v>
      </c>
      <c r="D70">
        <v>2.9999999999999997E-4</v>
      </c>
      <c r="E70">
        <v>35354744</v>
      </c>
      <c r="F70">
        <v>121069</v>
      </c>
      <c r="G70" t="s">
        <v>464</v>
      </c>
      <c r="H70">
        <v>218430000</v>
      </c>
      <c r="I70">
        <f>Cleaned_Data[[#This Row],[Volume (24h) USD]]/Cleaned_Data[[#This Row],[Circulating_Supply($)]]</f>
        <v>5.5426910222954723E-4</v>
      </c>
      <c r="J70">
        <f>RANK(Cleaned_Data[[#This Row],[Market Cap]],Cleaned_Data[Market Cap],0)</f>
        <v>69</v>
      </c>
      <c r="K70" t="str">
        <f t="shared" si="2"/>
        <v>0-0.5</v>
      </c>
      <c r="L70">
        <f>Cleaned_Data[[#This Row],[1h Change (%)]]*24</f>
        <v>7.1999999999999998E-3</v>
      </c>
      <c r="M70">
        <f>Cleaned_Data[[#This Row],[24h Change (%)]]*7</f>
        <v>5.04E-2</v>
      </c>
      <c r="N70" t="str" cm="1">
        <f t="array" ref="N70">_xlfn.IFS(Cleaned_Data[[#This Row],[Price (USD)]]&lt;0.05,"0 - 0.05",Cleaned_Data[[#This Row],[Price (USD)]]&lt;0.5,"0.05 - 0.5",Cleaned_Data[[#This Row],[Price (USD)]]&lt;5,"0.5 - 5",Cleaned_Data[[#This Row],[Price (USD)]]&lt;50,"5 - 50",Cleaned_Data[[#This Row],[Price (USD)]]&gt;=50,"&gt; 50")</f>
        <v>0.05 - 0.5</v>
      </c>
      <c r="O70">
        <f>(Cleaned_Data[[#This Row],[1h Change (%)]]+Cleaned_Data[[#This Row],[24h Change (%)]]+Cleaned_Data[[#This Row],[7d Change (%)]])/3</f>
        <v>1.9300000000000001E-2</v>
      </c>
      <c r="P70">
        <f>Cleaned_Data[[#This Row],[Price (USD)]]/(1+Cleaned_Data[[#This Row],[1h Change (%)]]/100)</f>
        <v>0.1617995146014562</v>
      </c>
      <c r="Q70">
        <f>Cleaned_Data[[#This Row],[Price (USD)]]/(1-Cleaned_Data[[#This Row],[24h Change (%)]]/100)</f>
        <v>0.16181165043883158</v>
      </c>
      <c r="R70">
        <f>Cleaned_Data[[#This Row],[Price (USD)]]/(1+Cleaned_Data[[#This Row],[7d Change (%)]]/100)</f>
        <v>0.16171849387908493</v>
      </c>
      <c r="S70">
        <f>Cleaned_Data[[#This Row],[Price (USD)]]-Cleaned_Data[[#This Row],[1-Hour Before Price]]</f>
        <v>4.8539854380358349E-7</v>
      </c>
    </row>
    <row r="71" spans="1:19" x14ac:dyDescent="0.3">
      <c r="A71" t="s">
        <v>1286</v>
      </c>
      <c r="B71" t="s">
        <v>465</v>
      </c>
      <c r="C71">
        <v>0.1431</v>
      </c>
      <c r="D71">
        <v>7.9000000000000008E-3</v>
      </c>
      <c r="E71">
        <v>35264904</v>
      </c>
      <c r="F71">
        <v>7857060</v>
      </c>
      <c r="G71" t="s">
        <v>470</v>
      </c>
      <c r="H71">
        <v>246360000</v>
      </c>
      <c r="I71">
        <f>Cleaned_Data[[#This Row],[Volume (24h) USD]]/Cleaned_Data[[#This Row],[Circulating_Supply($)]]</f>
        <v>3.1892596200681932E-2</v>
      </c>
      <c r="J71">
        <f>RANK(Cleaned_Data[[#This Row],[Market Cap]],Cleaned_Data[Market Cap],0)</f>
        <v>70</v>
      </c>
      <c r="K71" t="str">
        <f t="shared" si="2"/>
        <v>0-0.5</v>
      </c>
      <c r="L71">
        <f>Cleaned_Data[[#This Row],[1h Change (%)]]*24</f>
        <v>0.18960000000000002</v>
      </c>
      <c r="M71">
        <f>Cleaned_Data[[#This Row],[24h Change (%)]]*7</f>
        <v>1.3272000000000002</v>
      </c>
      <c r="N71" t="str" cm="1">
        <f t="array" ref="N71">_xlfn.IFS(Cleaned_Data[[#This Row],[Price (USD)]]&lt;0.05,"0 - 0.05",Cleaned_Data[[#This Row],[Price (USD)]]&lt;0.5,"0.05 - 0.5",Cleaned_Data[[#This Row],[Price (USD)]]&lt;5,"0.5 - 5",Cleaned_Data[[#This Row],[Price (USD)]]&lt;50,"5 - 50",Cleaned_Data[[#This Row],[Price (USD)]]&gt;=50,"&gt; 50")</f>
        <v>0.05 - 0.5</v>
      </c>
      <c r="O71">
        <f>(Cleaned_Data[[#This Row],[1h Change (%)]]+Cleaned_Data[[#This Row],[24h Change (%)]]+Cleaned_Data[[#This Row],[7d Change (%)]])/3</f>
        <v>0.50823333333333343</v>
      </c>
      <c r="P71">
        <f>Cleaned_Data[[#This Row],[Price (USD)]]/(1+Cleaned_Data[[#This Row],[1h Change (%)]]/100)</f>
        <v>0.14308869599301657</v>
      </c>
      <c r="Q71">
        <f>Cleaned_Data[[#This Row],[Price (USD)]]/(1-Cleaned_Data[[#This Row],[24h Change (%)]]/100)</f>
        <v>0.14337183299535922</v>
      </c>
      <c r="R71">
        <f>Cleaned_Data[[#This Row],[Price (USD)]]/(1+Cleaned_Data[[#This Row],[7d Change (%)]]/100)</f>
        <v>0.14122565313163693</v>
      </c>
      <c r="S71">
        <f>Cleaned_Data[[#This Row],[Price (USD)]]-Cleaned_Data[[#This Row],[1-Hour Before Price]]</f>
        <v>1.1304006983431369E-5</v>
      </c>
    </row>
    <row r="72" spans="1:19" x14ac:dyDescent="0.3">
      <c r="A72" t="s">
        <v>471</v>
      </c>
      <c r="B72" t="s">
        <v>472</v>
      </c>
      <c r="C72">
        <v>2.0500000000000001E-2</v>
      </c>
      <c r="D72">
        <v>1.1999999999999999E-3</v>
      </c>
      <c r="E72">
        <v>35141644</v>
      </c>
      <c r="F72">
        <v>129282</v>
      </c>
      <c r="G72" t="s">
        <v>477</v>
      </c>
      <c r="H72">
        <v>1710000000</v>
      </c>
      <c r="I72">
        <f>Cleaned_Data[[#This Row],[Volume (24h) USD]]/Cleaned_Data[[#This Row],[Circulating_Supply($)]]</f>
        <v>7.560350877192982E-5</v>
      </c>
      <c r="J72">
        <f>RANK(Cleaned_Data[[#This Row],[Market Cap]],Cleaned_Data[Market Cap],0)</f>
        <v>71</v>
      </c>
      <c r="K72" t="str">
        <f t="shared" si="2"/>
        <v>0-0.5</v>
      </c>
      <c r="L72">
        <f>Cleaned_Data[[#This Row],[1h Change (%)]]*24</f>
        <v>2.8799999999999999E-2</v>
      </c>
      <c r="M72">
        <f>Cleaned_Data[[#This Row],[24h Change (%)]]*7</f>
        <v>0.2016</v>
      </c>
      <c r="N72" t="str" cm="1">
        <f t="array" ref="N72">_xlfn.IFS(Cleaned_Data[[#This Row],[Price (USD)]]&lt;0.05,"0 - 0.05",Cleaned_Data[[#This Row],[Price (USD)]]&lt;0.5,"0.05 - 0.5",Cleaned_Data[[#This Row],[Price (USD)]]&lt;5,"0.5 - 5",Cleaned_Data[[#This Row],[Price (USD)]]&lt;50,"5 - 50",Cleaned_Data[[#This Row],[Price (USD)]]&gt;=50,"&gt; 50")</f>
        <v>0 - 0.05</v>
      </c>
      <c r="O72">
        <f>(Cleaned_Data[[#This Row],[1h Change (%)]]+Cleaned_Data[[#This Row],[24h Change (%)]]+Cleaned_Data[[#This Row],[7d Change (%)]])/3</f>
        <v>7.7200000000000005E-2</v>
      </c>
      <c r="P72">
        <f>Cleaned_Data[[#This Row],[Price (USD)]]/(1+Cleaned_Data[[#This Row],[1h Change (%)]]/100)</f>
        <v>2.0499754002951967E-2</v>
      </c>
      <c r="Q72">
        <f>Cleaned_Data[[#This Row],[Price (USD)]]/(1-Cleaned_Data[[#This Row],[24h Change (%)]]/100)</f>
        <v>2.0505905700841841E-2</v>
      </c>
      <c r="R72">
        <f>Cleaned_Data[[#This Row],[Price (USD)]]/(1+Cleaned_Data[[#This Row],[7d Change (%)]]/100)</f>
        <v>2.0458755149618368E-2</v>
      </c>
      <c r="S72">
        <f>Cleaned_Data[[#This Row],[Price (USD)]]-Cleaned_Data[[#This Row],[1-Hour Before Price]]</f>
        <v>2.4599704803382472E-7</v>
      </c>
    </row>
    <row r="73" spans="1:19" x14ac:dyDescent="0.3">
      <c r="A73" t="s">
        <v>478</v>
      </c>
      <c r="B73" t="s">
        <v>479</v>
      </c>
      <c r="C73">
        <v>3.0099999999999998E-2</v>
      </c>
      <c r="D73">
        <v>2.5000000000000001E-3</v>
      </c>
      <c r="E73">
        <v>35138416</v>
      </c>
      <c r="F73">
        <v>5538677</v>
      </c>
      <c r="G73" t="s">
        <v>484</v>
      </c>
      <c r="H73">
        <v>1160000000</v>
      </c>
      <c r="I73">
        <f>Cleaned_Data[[#This Row],[Volume (24h) USD]]/Cleaned_Data[[#This Row],[Circulating_Supply($)]]</f>
        <v>4.7747215517241377E-3</v>
      </c>
      <c r="J73">
        <f>RANK(Cleaned_Data[[#This Row],[Market Cap]],Cleaned_Data[Market Cap],0)</f>
        <v>72</v>
      </c>
      <c r="K73" t="str">
        <f t="shared" si="2"/>
        <v>0-0.5</v>
      </c>
      <c r="L73">
        <f>Cleaned_Data[[#This Row],[1h Change (%)]]*24</f>
        <v>0.06</v>
      </c>
      <c r="M73">
        <f>Cleaned_Data[[#This Row],[24h Change (%)]]*7</f>
        <v>0.42</v>
      </c>
      <c r="N73" t="str" cm="1">
        <f t="array" ref="N73">_xlfn.IFS(Cleaned_Data[[#This Row],[Price (USD)]]&lt;0.05,"0 - 0.05",Cleaned_Data[[#This Row],[Price (USD)]]&lt;0.5,"0.05 - 0.5",Cleaned_Data[[#This Row],[Price (USD)]]&lt;5,"0.5 - 5",Cleaned_Data[[#This Row],[Price (USD)]]&lt;50,"5 - 50",Cleaned_Data[[#This Row],[Price (USD)]]&gt;=50,"&gt; 50")</f>
        <v>0 - 0.05</v>
      </c>
      <c r="O73">
        <f>(Cleaned_Data[[#This Row],[1h Change (%)]]+Cleaned_Data[[#This Row],[24h Change (%)]]+Cleaned_Data[[#This Row],[7d Change (%)]])/3</f>
        <v>0.16083333333333333</v>
      </c>
      <c r="P73">
        <f>Cleaned_Data[[#This Row],[Price (USD)]]/(1+Cleaned_Data[[#This Row],[1h Change (%)]]/100)</f>
        <v>3.0099247518812031E-2</v>
      </c>
      <c r="Q73">
        <f>Cleaned_Data[[#This Row],[Price (USD)]]/(1-Cleaned_Data[[#This Row],[24h Change (%)]]/100)</f>
        <v>3.0118070842505503E-2</v>
      </c>
      <c r="R73">
        <f>Cleaned_Data[[#This Row],[Price (USD)]]/(1+Cleaned_Data[[#This Row],[7d Change (%)]]/100)</f>
        <v>2.997410874327823E-2</v>
      </c>
      <c r="S73">
        <f>Cleaned_Data[[#This Row],[Price (USD)]]-Cleaned_Data[[#This Row],[1-Hour Before Price]]</f>
        <v>7.5248118796764074E-7</v>
      </c>
    </row>
    <row r="74" spans="1:19" x14ac:dyDescent="0.3">
      <c r="A74" t="s">
        <v>485</v>
      </c>
      <c r="B74" t="s">
        <v>485</v>
      </c>
      <c r="C74">
        <v>0.89870000000000005</v>
      </c>
      <c r="D74">
        <v>8.9999999999999993E-3</v>
      </c>
      <c r="E74">
        <v>35080411</v>
      </c>
      <c r="F74">
        <v>9778739</v>
      </c>
      <c r="G74" t="s">
        <v>490</v>
      </c>
      <c r="H74">
        <v>39030000</v>
      </c>
      <c r="I74">
        <f>Cleaned_Data[[#This Row],[Volume (24h) USD]]/Cleaned_Data[[#This Row],[Circulating_Supply($)]]</f>
        <v>0.25054417115039712</v>
      </c>
      <c r="J74">
        <f>RANK(Cleaned_Data[[#This Row],[Market Cap]],Cleaned_Data[Market Cap],0)</f>
        <v>73</v>
      </c>
      <c r="K74" t="str">
        <f t="shared" si="2"/>
        <v>0.5-1</v>
      </c>
      <c r="L74">
        <f>Cleaned_Data[[#This Row],[1h Change (%)]]*24</f>
        <v>0.21599999999999997</v>
      </c>
      <c r="M74">
        <f>Cleaned_Data[[#This Row],[24h Change (%)]]*7</f>
        <v>1.5119999999999998</v>
      </c>
      <c r="N74" t="str" cm="1">
        <f t="array" ref="N74">_xlfn.IFS(Cleaned_Data[[#This Row],[Price (USD)]]&lt;0.05,"0 - 0.05",Cleaned_Data[[#This Row],[Price (USD)]]&lt;0.5,"0.05 - 0.5",Cleaned_Data[[#This Row],[Price (USD)]]&lt;5,"0.5 - 5",Cleaned_Data[[#This Row],[Price (USD)]]&lt;50,"5 - 50",Cleaned_Data[[#This Row],[Price (USD)]]&gt;=50,"&gt; 50")</f>
        <v>0.5 - 5</v>
      </c>
      <c r="O74">
        <f>(Cleaned_Data[[#This Row],[1h Change (%)]]+Cleaned_Data[[#This Row],[24h Change (%)]]+Cleaned_Data[[#This Row],[7d Change (%)]])/3</f>
        <v>0.57899999999999985</v>
      </c>
      <c r="P74">
        <f>Cleaned_Data[[#This Row],[Price (USD)]]/(1+Cleaned_Data[[#This Row],[1h Change (%)]]/100)</f>
        <v>0.89861912427881507</v>
      </c>
      <c r="Q74">
        <f>Cleaned_Data[[#This Row],[Price (USD)]]/(1-Cleaned_Data[[#This Row],[24h Change (%)]]/100)</f>
        <v>0.90064539405115063</v>
      </c>
      <c r="R74">
        <f>Cleaned_Data[[#This Row],[Price (USD)]]/(1+Cleaned_Data[[#This Row],[7d Change (%)]]/100)</f>
        <v>0.88531405154070453</v>
      </c>
      <c r="S74">
        <f>Cleaned_Data[[#This Row],[Price (USD)]]-Cleaned_Data[[#This Row],[1-Hour Before Price]]</f>
        <v>8.0875721184980875E-5</v>
      </c>
    </row>
    <row r="75" spans="1:19" x14ac:dyDescent="0.3">
      <c r="A75" t="s">
        <v>491</v>
      </c>
      <c r="B75" t="s">
        <v>492</v>
      </c>
      <c r="C75">
        <v>0.1125</v>
      </c>
      <c r="D75">
        <v>6.6E-3</v>
      </c>
      <c r="E75">
        <v>35034139</v>
      </c>
      <c r="F75">
        <v>50371789</v>
      </c>
      <c r="G75" t="s">
        <v>497</v>
      </c>
      <c r="H75">
        <v>311300000</v>
      </c>
      <c r="I75">
        <f>Cleaned_Data[[#This Row],[Volume (24h) USD]]/Cleaned_Data[[#This Row],[Circulating_Supply($)]]</f>
        <v>0.16181107934468358</v>
      </c>
      <c r="J75">
        <f>RANK(Cleaned_Data[[#This Row],[Market Cap]],Cleaned_Data[Market Cap],0)</f>
        <v>74</v>
      </c>
      <c r="K75" t="str">
        <f t="shared" si="2"/>
        <v>0-0.5</v>
      </c>
      <c r="L75">
        <f>Cleaned_Data[[#This Row],[1h Change (%)]]*24</f>
        <v>0.15839999999999999</v>
      </c>
      <c r="M75">
        <f>Cleaned_Data[[#This Row],[24h Change (%)]]*7</f>
        <v>1.1088</v>
      </c>
      <c r="N75" t="str" cm="1">
        <f t="array" ref="N75">_xlfn.IFS(Cleaned_Data[[#This Row],[Price (USD)]]&lt;0.05,"0 - 0.05",Cleaned_Data[[#This Row],[Price (USD)]]&lt;0.5,"0.05 - 0.5",Cleaned_Data[[#This Row],[Price (USD)]]&lt;5,"0.5 - 5",Cleaned_Data[[#This Row],[Price (USD)]]&lt;50,"5 - 50",Cleaned_Data[[#This Row],[Price (USD)]]&gt;=50,"&gt; 50")</f>
        <v>0.05 - 0.5</v>
      </c>
      <c r="O75">
        <f>(Cleaned_Data[[#This Row],[1h Change (%)]]+Cleaned_Data[[#This Row],[24h Change (%)]]+Cleaned_Data[[#This Row],[7d Change (%)]])/3</f>
        <v>0.42460000000000003</v>
      </c>
      <c r="P75">
        <f>Cleaned_Data[[#This Row],[Price (USD)]]/(1+Cleaned_Data[[#This Row],[1h Change (%)]]/100)</f>
        <v>0.11249257549001768</v>
      </c>
      <c r="Q75">
        <f>Cleaned_Data[[#This Row],[Price (USD)]]/(1-Cleaned_Data[[#This Row],[24h Change (%)]]/100)</f>
        <v>0.11267848271662313</v>
      </c>
      <c r="R75">
        <f>Cleaned_Data[[#This Row],[Price (USD)]]/(1+Cleaned_Data[[#This Row],[7d Change (%)]]/100)</f>
        <v>0.11126627949298182</v>
      </c>
      <c r="S75">
        <f>Cleaned_Data[[#This Row],[Price (USD)]]-Cleaned_Data[[#This Row],[1-Hour Before Price]]</f>
        <v>7.4245099823261329E-6</v>
      </c>
    </row>
    <row r="76" spans="1:19" x14ac:dyDescent="0.3">
      <c r="A76" t="s">
        <v>498</v>
      </c>
      <c r="B76" t="s">
        <v>499</v>
      </c>
      <c r="C76">
        <v>6.1000000000000004E-3</v>
      </c>
      <c r="D76">
        <v>1.4E-3</v>
      </c>
      <c r="E76">
        <v>34972612</v>
      </c>
      <c r="F76">
        <v>1391859</v>
      </c>
      <c r="G76" t="s">
        <v>503</v>
      </c>
      <c r="H76">
        <v>5730000000</v>
      </c>
      <c r="I76">
        <f>Cleaned_Data[[#This Row],[Volume (24h) USD]]/Cleaned_Data[[#This Row],[Circulating_Supply($)]]</f>
        <v>2.4290732984293194E-4</v>
      </c>
      <c r="J76">
        <f>RANK(Cleaned_Data[[#This Row],[Market Cap]],Cleaned_Data[Market Cap],0)</f>
        <v>75</v>
      </c>
      <c r="K76" t="str">
        <f t="shared" si="2"/>
        <v>0-0.5</v>
      </c>
      <c r="L76">
        <f>Cleaned_Data[[#This Row],[1h Change (%)]]*24</f>
        <v>3.3599999999999998E-2</v>
      </c>
      <c r="M76">
        <f>Cleaned_Data[[#This Row],[24h Change (%)]]*7</f>
        <v>0.23519999999999999</v>
      </c>
      <c r="N76" t="str" cm="1">
        <f t="array" ref="N76">_xlfn.IFS(Cleaned_Data[[#This Row],[Price (USD)]]&lt;0.05,"0 - 0.05",Cleaned_Data[[#This Row],[Price (USD)]]&lt;0.5,"0.05 - 0.5",Cleaned_Data[[#This Row],[Price (USD)]]&lt;5,"0.5 - 5",Cleaned_Data[[#This Row],[Price (USD)]]&lt;50,"5 - 50",Cleaned_Data[[#This Row],[Price (USD)]]&gt;=50,"&gt; 50")</f>
        <v>0 - 0.05</v>
      </c>
      <c r="O76">
        <f>(Cleaned_Data[[#This Row],[1h Change (%)]]+Cleaned_Data[[#This Row],[24h Change (%)]]+Cleaned_Data[[#This Row],[7d Change (%)]])/3</f>
        <v>9.006666666666667E-2</v>
      </c>
      <c r="P76">
        <f>Cleaned_Data[[#This Row],[Price (USD)]]/(1+Cleaned_Data[[#This Row],[1h Change (%)]]/100)</f>
        <v>6.0999146011955843E-3</v>
      </c>
      <c r="Q76">
        <f>Cleaned_Data[[#This Row],[Price (USD)]]/(1-Cleaned_Data[[#This Row],[24h Change (%)]]/100)</f>
        <v>6.1020502888970698E-3</v>
      </c>
      <c r="R76">
        <f>Cleaned_Data[[#This Row],[Price (USD)]]/(1+Cleaned_Data[[#This Row],[7d Change (%)]]/100)</f>
        <v>6.085686465433302E-3</v>
      </c>
      <c r="S76">
        <f>Cleaned_Data[[#This Row],[Price (USD)]]-Cleaned_Data[[#This Row],[1-Hour Before Price]]</f>
        <v>8.5398804416068896E-8</v>
      </c>
    </row>
    <row r="77" spans="1:19" x14ac:dyDescent="0.3">
      <c r="A77" t="s">
        <v>504</v>
      </c>
      <c r="B77" t="s">
        <v>505</v>
      </c>
      <c r="C77">
        <v>1.23</v>
      </c>
      <c r="D77">
        <v>2.0000000000000001E-4</v>
      </c>
      <c r="E77">
        <v>34798359</v>
      </c>
      <c r="F77">
        <v>75600</v>
      </c>
      <c r="G77" t="s">
        <v>509</v>
      </c>
      <c r="H77">
        <v>28270000</v>
      </c>
      <c r="I77">
        <f>Cleaned_Data[[#This Row],[Volume (24h) USD]]/Cleaned_Data[[#This Row],[Circulating_Supply($)]]</f>
        <v>2.6742129465864876E-3</v>
      </c>
      <c r="J77">
        <f>RANK(Cleaned_Data[[#This Row],[Market Cap]],Cleaned_Data[Market Cap],0)</f>
        <v>76</v>
      </c>
      <c r="K77" t="str">
        <f t="shared" si="2"/>
        <v>1-2</v>
      </c>
      <c r="L77">
        <f>Cleaned_Data[[#This Row],[1h Change (%)]]*24</f>
        <v>4.8000000000000004E-3</v>
      </c>
      <c r="M77">
        <f>Cleaned_Data[[#This Row],[24h Change (%)]]*7</f>
        <v>3.3600000000000005E-2</v>
      </c>
      <c r="N77" t="str" cm="1">
        <f t="array" ref="N77">_xlfn.IFS(Cleaned_Data[[#This Row],[Price (USD)]]&lt;0.05,"0 - 0.05",Cleaned_Data[[#This Row],[Price (USD)]]&lt;0.5,"0.05 - 0.5",Cleaned_Data[[#This Row],[Price (USD)]]&lt;5,"0.5 - 5",Cleaned_Data[[#This Row],[Price (USD)]]&lt;50,"5 - 50",Cleaned_Data[[#This Row],[Price (USD)]]&gt;=50,"&gt; 50")</f>
        <v>0.5 - 5</v>
      </c>
      <c r="O77">
        <f>(Cleaned_Data[[#This Row],[1h Change (%)]]+Cleaned_Data[[#This Row],[24h Change (%)]]+Cleaned_Data[[#This Row],[7d Change (%)]])/3</f>
        <v>1.2866666666666667E-2</v>
      </c>
      <c r="P77">
        <f>Cleaned_Data[[#This Row],[Price (USD)]]/(1+Cleaned_Data[[#This Row],[1h Change (%)]]/100)</f>
        <v>1.2299975400049199</v>
      </c>
      <c r="Q77">
        <f>Cleaned_Data[[#This Row],[Price (USD)]]/(1-Cleaned_Data[[#This Row],[24h Change (%)]]/100)</f>
        <v>1.2300590428340561</v>
      </c>
      <c r="R77">
        <f>Cleaned_Data[[#This Row],[Price (USD)]]/(1+Cleaned_Data[[#This Row],[7d Change (%)]]/100)</f>
        <v>1.2295868588154382</v>
      </c>
      <c r="S77">
        <f>Cleaned_Data[[#This Row],[Price (USD)]]-Cleaned_Data[[#This Row],[1-Hour Before Price]]</f>
        <v>2.4599950800840986E-6</v>
      </c>
    </row>
    <row r="78" spans="1:19" x14ac:dyDescent="0.3">
      <c r="A78" t="s">
        <v>510</v>
      </c>
      <c r="B78" t="s">
        <v>510</v>
      </c>
      <c r="C78">
        <v>2.2800000000000001E-2</v>
      </c>
      <c r="D78">
        <v>1.9E-3</v>
      </c>
      <c r="E78">
        <v>34575104</v>
      </c>
      <c r="F78">
        <v>18844509</v>
      </c>
      <c r="G78" t="s">
        <v>514</v>
      </c>
      <c r="H78">
        <v>1510000000</v>
      </c>
      <c r="I78">
        <f>Cleaned_Data[[#This Row],[Volume (24h) USD]]/Cleaned_Data[[#This Row],[Circulating_Supply($)]]</f>
        <v>1.2479807284768211E-2</v>
      </c>
      <c r="J78">
        <f>RANK(Cleaned_Data[[#This Row],[Market Cap]],Cleaned_Data[Market Cap],0)</f>
        <v>77</v>
      </c>
      <c r="K78" t="str">
        <f t="shared" si="2"/>
        <v>0-0.5</v>
      </c>
      <c r="L78">
        <f>Cleaned_Data[[#This Row],[1h Change (%)]]*24</f>
        <v>4.5600000000000002E-2</v>
      </c>
      <c r="M78">
        <f>Cleaned_Data[[#This Row],[24h Change (%)]]*7</f>
        <v>0.31920000000000004</v>
      </c>
      <c r="N78" t="str" cm="1">
        <f t="array" ref="N78">_xlfn.IFS(Cleaned_Data[[#This Row],[Price (USD)]]&lt;0.05,"0 - 0.05",Cleaned_Data[[#This Row],[Price (USD)]]&lt;0.5,"0.05 - 0.5",Cleaned_Data[[#This Row],[Price (USD)]]&lt;5,"0.5 - 5",Cleaned_Data[[#This Row],[Price (USD)]]&lt;50,"5 - 50",Cleaned_Data[[#This Row],[Price (USD)]]&gt;=50,"&gt; 50")</f>
        <v>0 - 0.05</v>
      </c>
      <c r="O78">
        <f>(Cleaned_Data[[#This Row],[1h Change (%)]]+Cleaned_Data[[#This Row],[24h Change (%)]]+Cleaned_Data[[#This Row],[7d Change (%)]])/3</f>
        <v>0.12223333333333335</v>
      </c>
      <c r="P78">
        <f>Cleaned_Data[[#This Row],[Price (USD)]]/(1+Cleaned_Data[[#This Row],[1h Change (%)]]/100)</f>
        <v>2.2799566808230646E-2</v>
      </c>
      <c r="Q78">
        <f>Cleaned_Data[[#This Row],[Price (USD)]]/(1-Cleaned_Data[[#This Row],[24h Change (%)]]/100)</f>
        <v>2.2810401543103657E-2</v>
      </c>
      <c r="R78">
        <f>Cleaned_Data[[#This Row],[Price (USD)]]/(1+Cleaned_Data[[#This Row],[7d Change (%)]]/100)</f>
        <v>2.2727453966937535E-2</v>
      </c>
      <c r="S78">
        <f>Cleaned_Data[[#This Row],[Price (USD)]]-Cleaned_Data[[#This Row],[1-Hour Before Price]]</f>
        <v>4.331917693549403E-7</v>
      </c>
    </row>
    <row r="79" spans="1:19" x14ac:dyDescent="0.3">
      <c r="A79" t="s">
        <v>515</v>
      </c>
      <c r="B79" t="s">
        <v>516</v>
      </c>
      <c r="C79">
        <v>3.6900000000000002E-2</v>
      </c>
      <c r="D79">
        <v>7.1999999999999998E-3</v>
      </c>
      <c r="E79">
        <v>34508739</v>
      </c>
      <c r="F79">
        <v>8324722</v>
      </c>
      <c r="G79" t="s">
        <v>521</v>
      </c>
      <c r="H79">
        <v>935810000</v>
      </c>
      <c r="I79">
        <f>Cleaned_Data[[#This Row],[Volume (24h) USD]]/Cleaned_Data[[#This Row],[Circulating_Supply($)]]</f>
        <v>8.8957395197743136E-3</v>
      </c>
      <c r="J79">
        <f>RANK(Cleaned_Data[[#This Row],[Market Cap]],Cleaned_Data[Market Cap],0)</f>
        <v>78</v>
      </c>
      <c r="K79" t="str">
        <f t="shared" si="2"/>
        <v>0-0.5</v>
      </c>
      <c r="L79">
        <f>Cleaned_Data[[#This Row],[1h Change (%)]]*24</f>
        <v>0.17280000000000001</v>
      </c>
      <c r="M79">
        <f>Cleaned_Data[[#This Row],[24h Change (%)]]*7</f>
        <v>1.2096</v>
      </c>
      <c r="N79" t="str" cm="1">
        <f t="array" ref="N79">_xlfn.IFS(Cleaned_Data[[#This Row],[Price (USD)]]&lt;0.05,"0 - 0.05",Cleaned_Data[[#This Row],[Price (USD)]]&lt;0.5,"0.05 - 0.5",Cleaned_Data[[#This Row],[Price (USD)]]&lt;5,"0.5 - 5",Cleaned_Data[[#This Row],[Price (USD)]]&lt;50,"5 - 50",Cleaned_Data[[#This Row],[Price (USD)]]&gt;=50,"&gt; 50")</f>
        <v>0 - 0.05</v>
      </c>
      <c r="O79">
        <f>(Cleaned_Data[[#This Row],[1h Change (%)]]+Cleaned_Data[[#This Row],[24h Change (%)]]+Cleaned_Data[[#This Row],[7d Change (%)]])/3</f>
        <v>0.4632</v>
      </c>
      <c r="P79">
        <f>Cleaned_Data[[#This Row],[Price (USD)]]/(1+Cleaned_Data[[#This Row],[1h Change (%)]]/100)</f>
        <v>3.689734339127583E-2</v>
      </c>
      <c r="Q79">
        <f>Cleaned_Data[[#This Row],[Price (USD)]]/(1-Cleaned_Data[[#This Row],[24h Change (%)]]/100)</f>
        <v>3.6963873573535068E-2</v>
      </c>
      <c r="R79">
        <f>Cleaned_Data[[#This Row],[Price (USD)]]/(1+Cleaned_Data[[#This Row],[7d Change (%)]]/100)</f>
        <v>3.6458992032376375E-2</v>
      </c>
      <c r="S79">
        <f>Cleaned_Data[[#This Row],[Price (USD)]]-Cleaned_Data[[#This Row],[1-Hour Before Price]]</f>
        <v>2.6566087241719494E-6</v>
      </c>
    </row>
    <row r="80" spans="1:19" x14ac:dyDescent="0.3">
      <c r="A80" t="s">
        <v>522</v>
      </c>
      <c r="B80" t="s">
        <v>522</v>
      </c>
      <c r="C80">
        <v>3.1899999999999998E-2</v>
      </c>
      <c r="D80">
        <v>2.1600000000000001E-2</v>
      </c>
      <c r="E80">
        <v>26070319</v>
      </c>
      <c r="F80">
        <v>467706</v>
      </c>
      <c r="G80" t="s">
        <v>527</v>
      </c>
      <c r="H80">
        <v>818170000</v>
      </c>
      <c r="I80">
        <f>Cleaned_Data[[#This Row],[Volume (24h) USD]]/Cleaned_Data[[#This Row],[Circulating_Supply($)]]</f>
        <v>5.7164892381778845E-4</v>
      </c>
      <c r="J80">
        <f>RANK(Cleaned_Data[[#This Row],[Market Cap]],Cleaned_Data[Market Cap],0)</f>
        <v>79</v>
      </c>
      <c r="K80" t="str">
        <f t="shared" si="2"/>
        <v>0-0.5</v>
      </c>
      <c r="L80">
        <f>Cleaned_Data[[#This Row],[1h Change (%)]]*24</f>
        <v>0.51839999999999997</v>
      </c>
      <c r="M80">
        <f>Cleaned_Data[[#This Row],[24h Change (%)]]*7</f>
        <v>3.6288</v>
      </c>
      <c r="N80" t="str" cm="1">
        <f t="array" ref="N80">_xlfn.IFS(Cleaned_Data[[#This Row],[Price (USD)]]&lt;0.05,"0 - 0.05",Cleaned_Data[[#This Row],[Price (USD)]]&lt;0.5,"0.05 - 0.5",Cleaned_Data[[#This Row],[Price (USD)]]&lt;5,"0.5 - 5",Cleaned_Data[[#This Row],[Price (USD)]]&lt;50,"5 - 50",Cleaned_Data[[#This Row],[Price (USD)]]&gt;=50,"&gt; 50")</f>
        <v>0 - 0.05</v>
      </c>
      <c r="O80">
        <f>(Cleaned_Data[[#This Row],[1h Change (%)]]+Cleaned_Data[[#This Row],[24h Change (%)]]+Cleaned_Data[[#This Row],[7d Change (%)]])/3</f>
        <v>1.3895999999999999</v>
      </c>
      <c r="P80">
        <f>Cleaned_Data[[#This Row],[Price (USD)]]/(1+Cleaned_Data[[#This Row],[1h Change (%)]]/100)</f>
        <v>3.1893111088004987E-2</v>
      </c>
      <c r="Q80">
        <f>Cleaned_Data[[#This Row],[Price (USD)]]/(1-Cleaned_Data[[#This Row],[24h Change (%)]]/100)</f>
        <v>3.2066231343283576E-2</v>
      </c>
      <c r="R80">
        <f>Cleaned_Data[[#This Row],[Price (USD)]]/(1+Cleaned_Data[[#This Row],[7d Change (%)]]/100)</f>
        <v>3.0782948369565213E-2</v>
      </c>
      <c r="S80">
        <f>Cleaned_Data[[#This Row],[Price (USD)]]-Cleaned_Data[[#This Row],[1-Hour Before Price]]</f>
        <v>6.8889119950107935E-6</v>
      </c>
    </row>
    <row r="81" spans="1:19" x14ac:dyDescent="0.3">
      <c r="A81" t="s">
        <v>528</v>
      </c>
      <c r="B81" t="s">
        <v>529</v>
      </c>
      <c r="C81">
        <v>3.8999999999999998E-3</v>
      </c>
      <c r="D81">
        <v>1.5900000000000001E-2</v>
      </c>
      <c r="E81">
        <v>26014561</v>
      </c>
      <c r="F81">
        <v>6727701</v>
      </c>
      <c r="G81" t="s">
        <v>534</v>
      </c>
      <c r="H81">
        <v>6670000000</v>
      </c>
      <c r="I81">
        <f>Cleaned_Data[[#This Row],[Volume (24h) USD]]/Cleaned_Data[[#This Row],[Circulating_Supply($)]]</f>
        <v>1.0086508245877061E-3</v>
      </c>
      <c r="J81">
        <f>RANK(Cleaned_Data[[#This Row],[Market Cap]],Cleaned_Data[Market Cap],0)</f>
        <v>80</v>
      </c>
      <c r="K81" t="str">
        <f t="shared" si="2"/>
        <v>0-0.5</v>
      </c>
      <c r="L81">
        <f>Cleaned_Data[[#This Row],[1h Change (%)]]*24</f>
        <v>0.38160000000000005</v>
      </c>
      <c r="M81">
        <f>Cleaned_Data[[#This Row],[24h Change (%)]]*7</f>
        <v>2.6712000000000002</v>
      </c>
      <c r="N81" t="str" cm="1">
        <f t="array" ref="N81">_xlfn.IFS(Cleaned_Data[[#This Row],[Price (USD)]]&lt;0.05,"0 - 0.05",Cleaned_Data[[#This Row],[Price (USD)]]&lt;0.5,"0.05 - 0.5",Cleaned_Data[[#This Row],[Price (USD)]]&lt;5,"0.5 - 5",Cleaned_Data[[#This Row],[Price (USD)]]&lt;50,"5 - 50",Cleaned_Data[[#This Row],[Price (USD)]]&gt;=50,"&gt; 50")</f>
        <v>0 - 0.05</v>
      </c>
      <c r="O81">
        <f>(Cleaned_Data[[#This Row],[1h Change (%)]]+Cleaned_Data[[#This Row],[24h Change (%)]]+Cleaned_Data[[#This Row],[7d Change (%)]])/3</f>
        <v>1.0229000000000001</v>
      </c>
      <c r="P81">
        <f>Cleaned_Data[[#This Row],[Price (USD)]]/(1+Cleaned_Data[[#This Row],[1h Change (%)]]/100)</f>
        <v>3.8993799985802256E-3</v>
      </c>
      <c r="Q81">
        <f>Cleaned_Data[[#This Row],[Price (USD)]]/(1-Cleaned_Data[[#This Row],[24h Change (%)]]/100)</f>
        <v>3.9149394087839191E-3</v>
      </c>
      <c r="R81">
        <f>Cleaned_Data[[#This Row],[Price (USD)]]/(1+Cleaned_Data[[#This Row],[7d Change (%)]]/100)</f>
        <v>3.7985335712449057E-3</v>
      </c>
      <c r="S81">
        <f>Cleaned_Data[[#This Row],[Price (USD)]]-Cleaned_Data[[#This Row],[1-Hour Before Price]]</f>
        <v>6.2000141977424164E-7</v>
      </c>
    </row>
    <row r="82" spans="1:19" x14ac:dyDescent="0.3">
      <c r="A82" t="s">
        <v>535</v>
      </c>
      <c r="B82" t="s">
        <v>536</v>
      </c>
      <c r="C82">
        <v>0.62219999999999998</v>
      </c>
      <c r="D82">
        <v>6.7000000000000002E-3</v>
      </c>
      <c r="E82">
        <v>25922954</v>
      </c>
      <c r="F82">
        <v>9982050</v>
      </c>
      <c r="G82" t="s">
        <v>540</v>
      </c>
      <c r="H82">
        <v>41650000</v>
      </c>
      <c r="I82">
        <f>Cleaned_Data[[#This Row],[Volume (24h) USD]]/Cleaned_Data[[#This Row],[Circulating_Supply($)]]</f>
        <v>0.23966506602641058</v>
      </c>
      <c r="J82">
        <f>RANK(Cleaned_Data[[#This Row],[Market Cap]],Cleaned_Data[Market Cap],0)</f>
        <v>81</v>
      </c>
      <c r="K82" t="str">
        <f t="shared" si="2"/>
        <v>0.5-1</v>
      </c>
      <c r="L82">
        <f>Cleaned_Data[[#This Row],[1h Change (%)]]*24</f>
        <v>0.1608</v>
      </c>
      <c r="M82">
        <f>Cleaned_Data[[#This Row],[24h Change (%)]]*7</f>
        <v>1.1255999999999999</v>
      </c>
      <c r="N82" t="str" cm="1">
        <f t="array" ref="N82">_xlfn.IFS(Cleaned_Data[[#This Row],[Price (USD)]]&lt;0.05,"0 - 0.05",Cleaned_Data[[#This Row],[Price (USD)]]&lt;0.5,"0.05 - 0.5",Cleaned_Data[[#This Row],[Price (USD)]]&lt;5,"0.5 - 5",Cleaned_Data[[#This Row],[Price (USD)]]&lt;50,"5 - 50",Cleaned_Data[[#This Row],[Price (USD)]]&gt;=50,"&gt; 50")</f>
        <v>0.5 - 5</v>
      </c>
      <c r="O82">
        <f>(Cleaned_Data[[#This Row],[1h Change (%)]]+Cleaned_Data[[#This Row],[24h Change (%)]]+Cleaned_Data[[#This Row],[7d Change (%)]])/3</f>
        <v>0.43103333333333332</v>
      </c>
      <c r="P82">
        <f>Cleaned_Data[[#This Row],[Price (USD)]]/(1+Cleaned_Data[[#This Row],[1h Change (%)]]/100)</f>
        <v>0.62215831539286859</v>
      </c>
      <c r="Q82">
        <f>Cleaned_Data[[#This Row],[Price (USD)]]/(1-Cleaned_Data[[#This Row],[24h Change (%)]]/100)</f>
        <v>0.62320210899125794</v>
      </c>
      <c r="R82">
        <f>Cleaned_Data[[#This Row],[Price (USD)]]/(1+Cleaned_Data[[#This Row],[7d Change (%)]]/100)</f>
        <v>0.61527447055938356</v>
      </c>
      <c r="S82">
        <f>Cleaned_Data[[#This Row],[Price (USD)]]-Cleaned_Data[[#This Row],[1-Hour Before Price]]</f>
        <v>4.1684607131386997E-5</v>
      </c>
    </row>
    <row r="83" spans="1:19" x14ac:dyDescent="0.3">
      <c r="A83" t="s">
        <v>541</v>
      </c>
      <c r="B83" t="s">
        <v>542</v>
      </c>
      <c r="C83">
        <v>7.6200000000000004E-2</v>
      </c>
      <c r="D83">
        <v>3.7000000000000002E-3</v>
      </c>
      <c r="E83">
        <v>25873467</v>
      </c>
      <c r="F83">
        <v>11510400</v>
      </c>
      <c r="G83" t="s">
        <v>547</v>
      </c>
      <c r="H83">
        <v>420690000000000</v>
      </c>
      <c r="I83">
        <f>Cleaned_Data[[#This Row],[Volume (24h) USD]]/Cleaned_Data[[#This Row],[Circulating_Supply($)]]</f>
        <v>2.736076445838979E-8</v>
      </c>
      <c r="J83">
        <f>RANK(Cleaned_Data[[#This Row],[Market Cap]],Cleaned_Data[Market Cap],0)</f>
        <v>82</v>
      </c>
      <c r="K83" t="str">
        <f t="shared" si="2"/>
        <v>0-0.5</v>
      </c>
      <c r="L83">
        <f>Cleaned_Data[[#This Row],[1h Change (%)]]*24</f>
        <v>8.8800000000000004E-2</v>
      </c>
      <c r="M83">
        <f>Cleaned_Data[[#This Row],[24h Change (%)]]*7</f>
        <v>0.62160000000000004</v>
      </c>
      <c r="N83" t="str" cm="1">
        <f t="array" ref="N83">_xlfn.IFS(Cleaned_Data[[#This Row],[Price (USD)]]&lt;0.05,"0 - 0.05",Cleaned_Data[[#This Row],[Price (USD)]]&lt;0.5,"0.05 - 0.5",Cleaned_Data[[#This Row],[Price (USD)]]&lt;5,"0.5 - 5",Cleaned_Data[[#This Row],[Price (USD)]]&lt;50,"5 - 50",Cleaned_Data[[#This Row],[Price (USD)]]&gt;=50,"&gt; 50")</f>
        <v>0.05 - 0.5</v>
      </c>
      <c r="O83">
        <f>(Cleaned_Data[[#This Row],[1h Change (%)]]+Cleaned_Data[[#This Row],[24h Change (%)]]+Cleaned_Data[[#This Row],[7d Change (%)]])/3</f>
        <v>0.23803333333333335</v>
      </c>
      <c r="P83">
        <f>Cleaned_Data[[#This Row],[Price (USD)]]/(1+Cleaned_Data[[#This Row],[1h Change (%)]]/100)</f>
        <v>7.6197180704313944E-2</v>
      </c>
      <c r="Q83">
        <f>Cleaned_Data[[#This Row],[Price (USD)]]/(1-Cleaned_Data[[#This Row],[24h Change (%)]]/100)</f>
        <v>7.6267725740457537E-2</v>
      </c>
      <c r="R83">
        <f>Cleaned_Data[[#This Row],[Price (USD)]]/(1+Cleaned_Data[[#This Row],[7d Change (%)]]/100)</f>
        <v>7.5729266877092E-2</v>
      </c>
      <c r="S83">
        <f>Cleaned_Data[[#This Row],[Price (USD)]]-Cleaned_Data[[#This Row],[1-Hour Before Price]]</f>
        <v>2.8192956860600971E-6</v>
      </c>
    </row>
    <row r="84" spans="1:19" x14ac:dyDescent="0.3">
      <c r="A84" t="s">
        <v>548</v>
      </c>
      <c r="B84" t="s">
        <v>548</v>
      </c>
      <c r="C84">
        <v>2.1100000000000001E-2</v>
      </c>
      <c r="D84">
        <v>5.0000000000000001E-3</v>
      </c>
      <c r="E84">
        <v>25788064</v>
      </c>
      <c r="F84">
        <v>1225263</v>
      </c>
      <c r="G84" t="s">
        <v>552</v>
      </c>
      <c r="H84">
        <v>1220000000</v>
      </c>
      <c r="I84">
        <f>Cleaned_Data[[#This Row],[Volume (24h) USD]]/Cleaned_Data[[#This Row],[Circulating_Supply($)]]</f>
        <v>1.0043139344262295E-3</v>
      </c>
      <c r="J84">
        <f>RANK(Cleaned_Data[[#This Row],[Market Cap]],Cleaned_Data[Market Cap],0)</f>
        <v>83</v>
      </c>
      <c r="K84" t="str">
        <f t="shared" si="2"/>
        <v>0-0.5</v>
      </c>
      <c r="L84">
        <f>Cleaned_Data[[#This Row],[1h Change (%)]]*24</f>
        <v>0.12</v>
      </c>
      <c r="M84">
        <f>Cleaned_Data[[#This Row],[24h Change (%)]]*7</f>
        <v>0.84</v>
      </c>
      <c r="N84" t="str" cm="1">
        <f t="array" ref="N84">_xlfn.IFS(Cleaned_Data[[#This Row],[Price (USD)]]&lt;0.05,"0 - 0.05",Cleaned_Data[[#This Row],[Price (USD)]]&lt;0.5,"0.05 - 0.5",Cleaned_Data[[#This Row],[Price (USD)]]&lt;5,"0.5 - 5",Cleaned_Data[[#This Row],[Price (USD)]]&lt;50,"5 - 50",Cleaned_Data[[#This Row],[Price (USD)]]&gt;=50,"&gt; 50")</f>
        <v>0 - 0.05</v>
      </c>
      <c r="O84">
        <f>(Cleaned_Data[[#This Row],[1h Change (%)]]+Cleaned_Data[[#This Row],[24h Change (%)]]+Cleaned_Data[[#This Row],[7d Change (%)]])/3</f>
        <v>0.32166666666666666</v>
      </c>
      <c r="P84">
        <f>Cleaned_Data[[#This Row],[Price (USD)]]/(1+Cleaned_Data[[#This Row],[1h Change (%)]]/100)</f>
        <v>2.1098945052747359E-2</v>
      </c>
      <c r="Q84">
        <f>Cleaned_Data[[#This Row],[Price (USD)]]/(1-Cleaned_Data[[#This Row],[24h Change (%)]]/100)</f>
        <v>2.1125350420504604E-2</v>
      </c>
      <c r="R84">
        <f>Cleaned_Data[[#This Row],[Price (USD)]]/(1+Cleaned_Data[[#This Row],[7d Change (%)]]/100)</f>
        <v>2.0924236414121382E-2</v>
      </c>
      <c r="S84">
        <f>Cleaned_Data[[#This Row],[Price (USD)]]-Cleaned_Data[[#This Row],[1-Hour Before Price]]</f>
        <v>1.0549472526412418E-6</v>
      </c>
    </row>
    <row r="85" spans="1:19" x14ac:dyDescent="0.3">
      <c r="A85" t="s">
        <v>553</v>
      </c>
      <c r="B85" t="s">
        <v>554</v>
      </c>
      <c r="C85">
        <v>2.58E-2</v>
      </c>
      <c r="D85">
        <v>1.09E-2</v>
      </c>
      <c r="E85">
        <v>25759341</v>
      </c>
      <c r="F85">
        <v>2642277</v>
      </c>
      <c r="G85" t="s">
        <v>126</v>
      </c>
      <c r="H85">
        <v>1000000000</v>
      </c>
      <c r="I85">
        <f>Cleaned_Data[[#This Row],[Volume (24h) USD]]/Cleaned_Data[[#This Row],[Circulating_Supply($)]]</f>
        <v>2.6422770000000002E-3</v>
      </c>
      <c r="J85">
        <f>RANK(Cleaned_Data[[#This Row],[Market Cap]],Cleaned_Data[Market Cap],0)</f>
        <v>84</v>
      </c>
      <c r="K85" t="str">
        <f t="shared" si="2"/>
        <v>0-0.5</v>
      </c>
      <c r="L85">
        <f>Cleaned_Data[[#This Row],[1h Change (%)]]*24</f>
        <v>0.2616</v>
      </c>
      <c r="M85">
        <f>Cleaned_Data[[#This Row],[24h Change (%)]]*7</f>
        <v>1.8311999999999999</v>
      </c>
      <c r="N85" t="str" cm="1">
        <f t="array" ref="N85">_xlfn.IFS(Cleaned_Data[[#This Row],[Price (USD)]]&lt;0.05,"0 - 0.05",Cleaned_Data[[#This Row],[Price (USD)]]&lt;0.5,"0.05 - 0.5",Cleaned_Data[[#This Row],[Price (USD)]]&lt;5,"0.5 - 5",Cleaned_Data[[#This Row],[Price (USD)]]&lt;50,"5 - 50",Cleaned_Data[[#This Row],[Price (USD)]]&gt;=50,"&gt; 50")</f>
        <v>0 - 0.05</v>
      </c>
      <c r="O85">
        <f>(Cleaned_Data[[#This Row],[1h Change (%)]]+Cleaned_Data[[#This Row],[24h Change (%)]]+Cleaned_Data[[#This Row],[7d Change (%)]])/3</f>
        <v>0.70123333333333326</v>
      </c>
      <c r="P85">
        <f>Cleaned_Data[[#This Row],[Price (USD)]]/(1+Cleaned_Data[[#This Row],[1h Change (%)]]/100)</f>
        <v>2.5797188106496394E-2</v>
      </c>
      <c r="Q85">
        <f>Cleaned_Data[[#This Row],[Price (USD)]]/(1-Cleaned_Data[[#This Row],[24h Change (%)]]/100)</f>
        <v>2.5867669824260264E-2</v>
      </c>
      <c r="R85">
        <f>Cleaned_Data[[#This Row],[Price (USD)]]/(1+Cleaned_Data[[#This Row],[7d Change (%)]]/100)</f>
        <v>2.5336046319791968E-2</v>
      </c>
      <c r="S85">
        <f>Cleaned_Data[[#This Row],[Price (USD)]]-Cleaned_Data[[#This Row],[1-Hour Before Price]]</f>
        <v>2.8118935036063053E-6</v>
      </c>
    </row>
    <row r="86" spans="1:19" x14ac:dyDescent="0.3">
      <c r="A86" t="s">
        <v>559</v>
      </c>
      <c r="B86" t="s">
        <v>560</v>
      </c>
      <c r="C86">
        <v>0.1085</v>
      </c>
      <c r="D86">
        <v>0</v>
      </c>
      <c r="E86">
        <v>25730460</v>
      </c>
      <c r="F86">
        <v>64349</v>
      </c>
      <c r="G86" t="s">
        <v>564</v>
      </c>
      <c r="H86">
        <v>236990000</v>
      </c>
      <c r="I86">
        <f>Cleaned_Data[[#This Row],[Volume (24h) USD]]/Cleaned_Data[[#This Row],[Circulating_Supply($)]]</f>
        <v>2.715262247352209E-4</v>
      </c>
      <c r="J86">
        <f>RANK(Cleaned_Data[[#This Row],[Market Cap]],Cleaned_Data[Market Cap],0)</f>
        <v>85</v>
      </c>
      <c r="K86" t="str">
        <f t="shared" si="2"/>
        <v>0-0.5</v>
      </c>
      <c r="L86">
        <f>Cleaned_Data[[#This Row],[1h Change (%)]]*24</f>
        <v>0</v>
      </c>
      <c r="M86">
        <f>Cleaned_Data[[#This Row],[24h Change (%)]]*7</f>
        <v>0</v>
      </c>
      <c r="N86" t="str" cm="1">
        <f t="array" ref="N86">_xlfn.IFS(Cleaned_Data[[#This Row],[Price (USD)]]&lt;0.05,"0 - 0.05",Cleaned_Data[[#This Row],[Price (USD)]]&lt;0.5,"0.05 - 0.5",Cleaned_Data[[#This Row],[Price (USD)]]&lt;5,"0.5 - 5",Cleaned_Data[[#This Row],[Price (USD)]]&lt;50,"5 - 50",Cleaned_Data[[#This Row],[Price (USD)]]&gt;=50,"&gt; 50")</f>
        <v>0.05 - 0.5</v>
      </c>
      <c r="O86">
        <f>(Cleaned_Data[[#This Row],[1h Change (%)]]+Cleaned_Data[[#This Row],[24h Change (%)]]+Cleaned_Data[[#This Row],[7d Change (%)]])/3</f>
        <v>0</v>
      </c>
      <c r="P86">
        <f>Cleaned_Data[[#This Row],[Price (USD)]]/(1+Cleaned_Data[[#This Row],[1h Change (%)]]/100)</f>
        <v>0.1085</v>
      </c>
      <c r="Q86">
        <f>Cleaned_Data[[#This Row],[Price (USD)]]/(1-Cleaned_Data[[#This Row],[24h Change (%)]]/100)</f>
        <v>0.1085</v>
      </c>
      <c r="R86">
        <f>Cleaned_Data[[#This Row],[Price (USD)]]/(1+Cleaned_Data[[#This Row],[7d Change (%)]]/100)</f>
        <v>0.1085</v>
      </c>
      <c r="S86">
        <f>Cleaned_Data[[#This Row],[Price (USD)]]-Cleaned_Data[[#This Row],[1-Hour Before Price]]</f>
        <v>0</v>
      </c>
    </row>
    <row r="87" spans="1:19" x14ac:dyDescent="0.3">
      <c r="A87" t="s">
        <v>565</v>
      </c>
      <c r="B87" t="s">
        <v>566</v>
      </c>
      <c r="C87">
        <v>9.5600000000000004E-2</v>
      </c>
      <c r="D87">
        <v>9.1999999999999998E-3</v>
      </c>
      <c r="E87">
        <v>25696932</v>
      </c>
      <c r="F87">
        <v>1704625</v>
      </c>
      <c r="G87" t="s">
        <v>571</v>
      </c>
      <c r="H87">
        <v>268880000</v>
      </c>
      <c r="I87">
        <f>Cleaned_Data[[#This Row],[Volume (24h) USD]]/Cleaned_Data[[#This Row],[Circulating_Supply($)]]</f>
        <v>6.3397240404641474E-3</v>
      </c>
      <c r="J87">
        <f>RANK(Cleaned_Data[[#This Row],[Market Cap]],Cleaned_Data[Market Cap],0)</f>
        <v>86</v>
      </c>
      <c r="K87" t="str">
        <f t="shared" si="2"/>
        <v>0-0.5</v>
      </c>
      <c r="L87">
        <f>Cleaned_Data[[#This Row],[1h Change (%)]]*24</f>
        <v>0.2208</v>
      </c>
      <c r="M87">
        <f>Cleaned_Data[[#This Row],[24h Change (%)]]*7</f>
        <v>1.5455999999999999</v>
      </c>
      <c r="N87" t="str" cm="1">
        <f t="array" ref="N87">_xlfn.IFS(Cleaned_Data[[#This Row],[Price (USD)]]&lt;0.05,"0 - 0.05",Cleaned_Data[[#This Row],[Price (USD)]]&lt;0.5,"0.05 - 0.5",Cleaned_Data[[#This Row],[Price (USD)]]&lt;5,"0.5 - 5",Cleaned_Data[[#This Row],[Price (USD)]]&lt;50,"5 - 50",Cleaned_Data[[#This Row],[Price (USD)]]&gt;=50,"&gt; 50")</f>
        <v>0.05 - 0.5</v>
      </c>
      <c r="O87">
        <f>(Cleaned_Data[[#This Row],[1h Change (%)]]+Cleaned_Data[[#This Row],[24h Change (%)]]+Cleaned_Data[[#This Row],[7d Change (%)]])/3</f>
        <v>0.59186666666666665</v>
      </c>
      <c r="P87">
        <f>Cleaned_Data[[#This Row],[Price (USD)]]/(1+Cleaned_Data[[#This Row],[1h Change (%)]]/100)</f>
        <v>9.5591205609083976E-2</v>
      </c>
      <c r="Q87">
        <f>Cleaned_Data[[#This Row],[Price (USD)]]/(1-Cleaned_Data[[#This Row],[24h Change (%)]]/100)</f>
        <v>9.5811551906609796E-2</v>
      </c>
      <c r="R87">
        <f>Cleaned_Data[[#This Row],[Price (USD)]]/(1+Cleaned_Data[[#This Row],[7d Change (%)]]/100)</f>
        <v>9.4144896480005055E-2</v>
      </c>
      <c r="S87">
        <f>Cleaned_Data[[#This Row],[Price (USD)]]-Cleaned_Data[[#This Row],[1-Hour Before Price]]</f>
        <v>8.794390916028183E-6</v>
      </c>
    </row>
    <row r="88" spans="1:19" x14ac:dyDescent="0.3">
      <c r="A88" t="s">
        <v>572</v>
      </c>
      <c r="B88" t="s">
        <v>573</v>
      </c>
      <c r="C88">
        <v>2.5499999999999998E-2</v>
      </c>
      <c r="D88">
        <v>5.9999999999999995E-4</v>
      </c>
      <c r="E88">
        <v>25507544</v>
      </c>
      <c r="F88">
        <v>5524554</v>
      </c>
      <c r="G88" t="s">
        <v>577</v>
      </c>
      <c r="H88">
        <v>999970000</v>
      </c>
      <c r="I88">
        <f>Cleaned_Data[[#This Row],[Volume (24h) USD]]/Cleaned_Data[[#This Row],[Circulating_Supply($)]]</f>
        <v>5.5247197415922477E-3</v>
      </c>
      <c r="J88">
        <f>RANK(Cleaned_Data[[#This Row],[Market Cap]],Cleaned_Data[Market Cap],0)</f>
        <v>87</v>
      </c>
      <c r="K88" t="str">
        <f t="shared" si="2"/>
        <v>0-0.5</v>
      </c>
      <c r="L88">
        <f>Cleaned_Data[[#This Row],[1h Change (%)]]*24</f>
        <v>1.44E-2</v>
      </c>
      <c r="M88">
        <f>Cleaned_Data[[#This Row],[24h Change (%)]]*7</f>
        <v>0.1008</v>
      </c>
      <c r="N88" t="str" cm="1">
        <f t="array" ref="N88">_xlfn.IFS(Cleaned_Data[[#This Row],[Price (USD)]]&lt;0.05,"0 - 0.05",Cleaned_Data[[#This Row],[Price (USD)]]&lt;0.5,"0.05 - 0.5",Cleaned_Data[[#This Row],[Price (USD)]]&lt;5,"0.5 - 5",Cleaned_Data[[#This Row],[Price (USD)]]&lt;50,"5 - 50",Cleaned_Data[[#This Row],[Price (USD)]]&gt;=50,"&gt; 50")</f>
        <v>0 - 0.05</v>
      </c>
      <c r="O88">
        <f>(Cleaned_Data[[#This Row],[1h Change (%)]]+Cleaned_Data[[#This Row],[24h Change (%)]]+Cleaned_Data[[#This Row],[7d Change (%)]])/3</f>
        <v>3.8600000000000002E-2</v>
      </c>
      <c r="P88">
        <f>Cleaned_Data[[#This Row],[Price (USD)]]/(1+Cleaned_Data[[#This Row],[1h Change (%)]]/100)</f>
        <v>2.5499847000917994E-2</v>
      </c>
      <c r="Q88">
        <f>Cleaned_Data[[#This Row],[Price (USD)]]/(1-Cleaned_Data[[#This Row],[24h Change (%)]]/100)</f>
        <v>2.5503672528844154E-2</v>
      </c>
      <c r="R88">
        <f>Cleaned_Data[[#This Row],[Price (USD)]]/(1+Cleaned_Data[[#This Row],[7d Change (%)]]/100)</f>
        <v>2.5474321883541391E-2</v>
      </c>
      <c r="S88">
        <f>Cleaned_Data[[#This Row],[Price (USD)]]-Cleaned_Data[[#This Row],[1-Hour Before Price]]</f>
        <v>1.5299908200441803E-7</v>
      </c>
    </row>
    <row r="89" spans="1:19" x14ac:dyDescent="0.3">
      <c r="A89" t="s">
        <v>578</v>
      </c>
      <c r="B89" t="s">
        <v>579</v>
      </c>
      <c r="C89">
        <v>0.85289999999999999</v>
      </c>
      <c r="D89">
        <v>1.2999999999999999E-3</v>
      </c>
      <c r="E89">
        <v>25471481</v>
      </c>
      <c r="F89">
        <v>43405</v>
      </c>
      <c r="G89" t="s">
        <v>583</v>
      </c>
      <c r="H89">
        <v>29860000</v>
      </c>
      <c r="I89">
        <f>Cleaned_Data[[#This Row],[Volume (24h) USD]]/Cleaned_Data[[#This Row],[Circulating_Supply($)]]</f>
        <v>1.4536168787675819E-3</v>
      </c>
      <c r="J89">
        <f>RANK(Cleaned_Data[[#This Row],[Market Cap]],Cleaned_Data[Market Cap],0)</f>
        <v>88</v>
      </c>
      <c r="K89" t="str">
        <f t="shared" si="2"/>
        <v>0.5-1</v>
      </c>
      <c r="L89">
        <f>Cleaned_Data[[#This Row],[1h Change (%)]]*24</f>
        <v>3.1199999999999999E-2</v>
      </c>
      <c r="M89">
        <f>Cleaned_Data[[#This Row],[24h Change (%)]]*7</f>
        <v>0.21839999999999998</v>
      </c>
      <c r="N89" t="str" cm="1">
        <f t="array" ref="N89">_xlfn.IFS(Cleaned_Data[[#This Row],[Price (USD)]]&lt;0.05,"0 - 0.05",Cleaned_Data[[#This Row],[Price (USD)]]&lt;0.5,"0.05 - 0.5",Cleaned_Data[[#This Row],[Price (USD)]]&lt;5,"0.5 - 5",Cleaned_Data[[#This Row],[Price (USD)]]&lt;50,"5 - 50",Cleaned_Data[[#This Row],[Price (USD)]]&gt;=50,"&gt; 50")</f>
        <v>0.5 - 5</v>
      </c>
      <c r="O89">
        <f>(Cleaned_Data[[#This Row],[1h Change (%)]]+Cleaned_Data[[#This Row],[24h Change (%)]]+Cleaned_Data[[#This Row],[7d Change (%)]])/3</f>
        <v>8.3633333333333337E-2</v>
      </c>
      <c r="P89">
        <f>Cleaned_Data[[#This Row],[Price (USD)]]/(1+Cleaned_Data[[#This Row],[1h Change (%)]]/100)</f>
        <v>0.85288891244413823</v>
      </c>
      <c r="Q89">
        <f>Cleaned_Data[[#This Row],[Price (USD)]]/(1-Cleaned_Data[[#This Row],[24h Change (%)]]/100)</f>
        <v>0.85316618785060938</v>
      </c>
      <c r="R89">
        <f>Cleaned_Data[[#This Row],[Price (USD)]]/(1+Cleaned_Data[[#This Row],[7d Change (%)]]/100)</f>
        <v>0.85104132574457392</v>
      </c>
      <c r="S89">
        <f>Cleaned_Data[[#This Row],[Price (USD)]]-Cleaned_Data[[#This Row],[1-Hour Before Price]]</f>
        <v>1.1087555861766241E-5</v>
      </c>
    </row>
    <row r="90" spans="1:19" x14ac:dyDescent="0.3">
      <c r="A90" t="s">
        <v>584</v>
      </c>
      <c r="B90" t="s">
        <v>584</v>
      </c>
      <c r="C90">
        <v>0.99880000000000002</v>
      </c>
      <c r="D90">
        <v>2.9999999999999997E-4</v>
      </c>
      <c r="E90">
        <v>18990853</v>
      </c>
      <c r="F90">
        <v>228239</v>
      </c>
      <c r="G90" t="s">
        <v>588</v>
      </c>
      <c r="H90">
        <v>19010000</v>
      </c>
      <c r="I90">
        <f>Cleaned_Data[[#This Row],[Volume (24h) USD]]/Cleaned_Data[[#This Row],[Circulating_Supply($)]]</f>
        <v>1.2006259863229878E-2</v>
      </c>
      <c r="J90">
        <f>RANK(Cleaned_Data[[#This Row],[Market Cap]],Cleaned_Data[Market Cap],0)</f>
        <v>89</v>
      </c>
      <c r="K90" t="str">
        <f t="shared" si="2"/>
        <v>0.5-1</v>
      </c>
      <c r="L90">
        <f>Cleaned_Data[[#This Row],[1h Change (%)]]*24</f>
        <v>7.1999999999999998E-3</v>
      </c>
      <c r="M90">
        <f>Cleaned_Data[[#This Row],[24h Change (%)]]*7</f>
        <v>5.04E-2</v>
      </c>
      <c r="N90" t="str" cm="1">
        <f t="array" ref="N90">_xlfn.IFS(Cleaned_Data[[#This Row],[Price (USD)]]&lt;0.05,"0 - 0.05",Cleaned_Data[[#This Row],[Price (USD)]]&lt;0.5,"0.05 - 0.5",Cleaned_Data[[#This Row],[Price (USD)]]&lt;5,"0.5 - 5",Cleaned_Data[[#This Row],[Price (USD)]]&lt;50,"5 - 50",Cleaned_Data[[#This Row],[Price (USD)]]&gt;=50,"&gt; 50")</f>
        <v>0.5 - 5</v>
      </c>
      <c r="O90">
        <f>(Cleaned_Data[[#This Row],[1h Change (%)]]+Cleaned_Data[[#This Row],[24h Change (%)]]+Cleaned_Data[[#This Row],[7d Change (%)]])/3</f>
        <v>1.9300000000000001E-2</v>
      </c>
      <c r="P90">
        <f>Cleaned_Data[[#This Row],[Price (USD)]]/(1+Cleaned_Data[[#This Row],[1h Change (%)]]/100)</f>
        <v>0.99879700360898926</v>
      </c>
      <c r="Q90">
        <f>Cleaned_Data[[#This Row],[Price (USD)]]/(1-Cleaned_Data[[#This Row],[24h Change (%)]]/100)</f>
        <v>0.99887191877815196</v>
      </c>
      <c r="R90">
        <f>Cleaned_Data[[#This Row],[Price (USD)]]/(1+Cleaned_Data[[#This Row],[7d Change (%)]]/100)</f>
        <v>0.99829685838337479</v>
      </c>
      <c r="S90">
        <f>Cleaned_Data[[#This Row],[Price (USD)]]-Cleaned_Data[[#This Row],[1-Hour Before Price]]</f>
        <v>2.9963910107566605E-6</v>
      </c>
    </row>
    <row r="91" spans="1:19" x14ac:dyDescent="0.3">
      <c r="A91" t="s">
        <v>589</v>
      </c>
      <c r="B91" t="s">
        <v>590</v>
      </c>
      <c r="C91">
        <v>3.7900000000000003E-2</v>
      </c>
      <c r="D91">
        <v>0</v>
      </c>
      <c r="E91">
        <v>18961083</v>
      </c>
      <c r="F91">
        <v>706323</v>
      </c>
      <c r="G91" t="s">
        <v>594</v>
      </c>
      <c r="H91">
        <v>500000000</v>
      </c>
      <c r="I91">
        <f>Cleaned_Data[[#This Row],[Volume (24h) USD]]/Cleaned_Data[[#This Row],[Circulating_Supply($)]]</f>
        <v>1.412646E-3</v>
      </c>
      <c r="J91">
        <f>RANK(Cleaned_Data[[#This Row],[Market Cap]],Cleaned_Data[Market Cap],0)</f>
        <v>90</v>
      </c>
      <c r="K91" t="str">
        <f t="shared" si="2"/>
        <v>0-0.5</v>
      </c>
      <c r="L91">
        <f>Cleaned_Data[[#This Row],[1h Change (%)]]*24</f>
        <v>0</v>
      </c>
      <c r="M91">
        <f>Cleaned_Data[[#This Row],[24h Change (%)]]*7</f>
        <v>0</v>
      </c>
      <c r="N91" t="str" cm="1">
        <f t="array" ref="N91">_xlfn.IFS(Cleaned_Data[[#This Row],[Price (USD)]]&lt;0.05,"0 - 0.05",Cleaned_Data[[#This Row],[Price (USD)]]&lt;0.5,"0.05 - 0.5",Cleaned_Data[[#This Row],[Price (USD)]]&lt;5,"0.5 - 5",Cleaned_Data[[#This Row],[Price (USD)]]&lt;50,"5 - 50",Cleaned_Data[[#This Row],[Price (USD)]]&gt;=50,"&gt; 50")</f>
        <v>0 - 0.05</v>
      </c>
      <c r="O91">
        <f>(Cleaned_Data[[#This Row],[1h Change (%)]]+Cleaned_Data[[#This Row],[24h Change (%)]]+Cleaned_Data[[#This Row],[7d Change (%)]])/3</f>
        <v>0</v>
      </c>
      <c r="P91">
        <f>Cleaned_Data[[#This Row],[Price (USD)]]/(1+Cleaned_Data[[#This Row],[1h Change (%)]]/100)</f>
        <v>3.7900000000000003E-2</v>
      </c>
      <c r="Q91">
        <f>Cleaned_Data[[#This Row],[Price (USD)]]/(1-Cleaned_Data[[#This Row],[24h Change (%)]]/100)</f>
        <v>3.7900000000000003E-2</v>
      </c>
      <c r="R91">
        <f>Cleaned_Data[[#This Row],[Price (USD)]]/(1+Cleaned_Data[[#This Row],[7d Change (%)]]/100)</f>
        <v>3.7900000000000003E-2</v>
      </c>
      <c r="S91">
        <f>Cleaned_Data[[#This Row],[Price (USD)]]-Cleaned_Data[[#This Row],[1-Hour Before Price]]</f>
        <v>0</v>
      </c>
    </row>
    <row r="92" spans="1:19" x14ac:dyDescent="0.3">
      <c r="A92" t="s">
        <v>595</v>
      </c>
      <c r="B92" t="s">
        <v>596</v>
      </c>
      <c r="C92">
        <v>0.02</v>
      </c>
      <c r="D92">
        <v>2.9999999999999997E-4</v>
      </c>
      <c r="E92">
        <v>18957669</v>
      </c>
      <c r="F92">
        <v>357326</v>
      </c>
      <c r="G92" t="s">
        <v>600</v>
      </c>
      <c r="H92">
        <v>946970000</v>
      </c>
      <c r="I92">
        <f>Cleaned_Data[[#This Row],[Volume (24h) USD]]/Cleaned_Data[[#This Row],[Circulating_Supply($)]]</f>
        <v>3.7733613525243673E-4</v>
      </c>
      <c r="J92">
        <f>RANK(Cleaned_Data[[#This Row],[Market Cap]],Cleaned_Data[Market Cap],0)</f>
        <v>91</v>
      </c>
      <c r="K92" t="str">
        <f t="shared" si="2"/>
        <v>0-0.5</v>
      </c>
      <c r="L92">
        <f>Cleaned_Data[[#This Row],[1h Change (%)]]*24</f>
        <v>7.1999999999999998E-3</v>
      </c>
      <c r="M92">
        <f>Cleaned_Data[[#This Row],[24h Change (%)]]*7</f>
        <v>5.04E-2</v>
      </c>
      <c r="N92" t="str" cm="1">
        <f t="array" ref="N92">_xlfn.IFS(Cleaned_Data[[#This Row],[Price (USD)]]&lt;0.05,"0 - 0.05",Cleaned_Data[[#This Row],[Price (USD)]]&lt;0.5,"0.05 - 0.5",Cleaned_Data[[#This Row],[Price (USD)]]&lt;5,"0.5 - 5",Cleaned_Data[[#This Row],[Price (USD)]]&lt;50,"5 - 50",Cleaned_Data[[#This Row],[Price (USD)]]&gt;=50,"&gt; 50")</f>
        <v>0 - 0.05</v>
      </c>
      <c r="O92">
        <f>(Cleaned_Data[[#This Row],[1h Change (%)]]+Cleaned_Data[[#This Row],[24h Change (%)]]+Cleaned_Data[[#This Row],[7d Change (%)]])/3</f>
        <v>1.9300000000000001E-2</v>
      </c>
      <c r="P92">
        <f>Cleaned_Data[[#This Row],[Price (USD)]]/(1+Cleaned_Data[[#This Row],[1h Change (%)]]/100)</f>
        <v>1.9999940000179999E-2</v>
      </c>
      <c r="Q92">
        <f>Cleaned_Data[[#This Row],[Price (USD)]]/(1-Cleaned_Data[[#This Row],[24h Change (%)]]/100)</f>
        <v>2.0001440103687464E-2</v>
      </c>
      <c r="R92">
        <f>Cleaned_Data[[#This Row],[Price (USD)]]/(1+Cleaned_Data[[#This Row],[7d Change (%)]]/100)</f>
        <v>1.9989925077760807E-2</v>
      </c>
      <c r="S92">
        <f>Cleaned_Data[[#This Row],[Price (USD)]]-Cleaned_Data[[#This Row],[1-Hour Before Price]]</f>
        <v>5.9999820001266357E-8</v>
      </c>
    </row>
    <row r="93" spans="1:19" x14ac:dyDescent="0.3">
      <c r="A93" t="s">
        <v>601</v>
      </c>
      <c r="B93" t="s">
        <v>602</v>
      </c>
      <c r="C93">
        <v>8.1699999999999995E-2</v>
      </c>
      <c r="D93">
        <v>5.1999999999999998E-3</v>
      </c>
      <c r="E93">
        <v>18817231</v>
      </c>
      <c r="F93">
        <v>5622803</v>
      </c>
      <c r="G93" t="s">
        <v>606</v>
      </c>
      <c r="H93">
        <v>230250000</v>
      </c>
      <c r="I93">
        <f>Cleaned_Data[[#This Row],[Volume (24h) USD]]/Cleaned_Data[[#This Row],[Circulating_Supply($)]]</f>
        <v>2.4420425624321389E-2</v>
      </c>
      <c r="J93">
        <f>RANK(Cleaned_Data[[#This Row],[Market Cap]],Cleaned_Data[Market Cap],0)</f>
        <v>92</v>
      </c>
      <c r="K93" t="str">
        <f t="shared" si="2"/>
        <v>0-0.5</v>
      </c>
      <c r="L93">
        <f>Cleaned_Data[[#This Row],[1h Change (%)]]*24</f>
        <v>0.12479999999999999</v>
      </c>
      <c r="M93">
        <f>Cleaned_Data[[#This Row],[24h Change (%)]]*7</f>
        <v>0.87359999999999993</v>
      </c>
      <c r="N93" t="str" cm="1">
        <f t="array" ref="N93">_xlfn.IFS(Cleaned_Data[[#This Row],[Price (USD)]]&lt;0.05,"0 - 0.05",Cleaned_Data[[#This Row],[Price (USD)]]&lt;0.5,"0.05 - 0.5",Cleaned_Data[[#This Row],[Price (USD)]]&lt;5,"0.5 - 5",Cleaned_Data[[#This Row],[Price (USD)]]&lt;50,"5 - 50",Cleaned_Data[[#This Row],[Price (USD)]]&gt;=50,"&gt; 50")</f>
        <v>0.05 - 0.5</v>
      </c>
      <c r="O93">
        <f>(Cleaned_Data[[#This Row],[1h Change (%)]]+Cleaned_Data[[#This Row],[24h Change (%)]]+Cleaned_Data[[#This Row],[7d Change (%)]])/3</f>
        <v>0.33453333333333335</v>
      </c>
      <c r="P93">
        <f>Cleaned_Data[[#This Row],[Price (USD)]]/(1+Cleaned_Data[[#This Row],[1h Change (%)]]/100)</f>
        <v>8.1695751820905313E-2</v>
      </c>
      <c r="Q93">
        <f>Cleaned_Data[[#This Row],[Price (USD)]]/(1-Cleaned_Data[[#This Row],[24h Change (%)]]/100)</f>
        <v>8.180208900708083E-2</v>
      </c>
      <c r="R93">
        <f>Cleaned_Data[[#This Row],[Price (USD)]]/(1+Cleaned_Data[[#This Row],[7d Change (%)]]/100)</f>
        <v>8.0992449957174112E-2</v>
      </c>
      <c r="S93">
        <f>Cleaned_Data[[#This Row],[Price (USD)]]-Cleaned_Data[[#This Row],[1-Hour Before Price]]</f>
        <v>4.248179094681892E-6</v>
      </c>
    </row>
    <row r="94" spans="1:19" x14ac:dyDescent="0.3">
      <c r="A94" t="s">
        <v>607</v>
      </c>
      <c r="B94" t="s">
        <v>608</v>
      </c>
      <c r="C94">
        <v>5.4999999999999997E-3</v>
      </c>
      <c r="D94">
        <v>1.06E-2</v>
      </c>
      <c r="E94">
        <v>18668308</v>
      </c>
      <c r="F94">
        <v>181555</v>
      </c>
      <c r="G94" t="s">
        <v>613</v>
      </c>
      <c r="H94">
        <v>3390000000</v>
      </c>
      <c r="I94">
        <f>Cleaned_Data[[#This Row],[Volume (24h) USD]]/Cleaned_Data[[#This Row],[Circulating_Supply($)]]</f>
        <v>5.3556047197640117E-5</v>
      </c>
      <c r="J94">
        <f>RANK(Cleaned_Data[[#This Row],[Market Cap]],Cleaned_Data[Market Cap],0)</f>
        <v>93</v>
      </c>
      <c r="K94" t="str">
        <f t="shared" si="2"/>
        <v>0-0.5</v>
      </c>
      <c r="L94">
        <f>Cleaned_Data[[#This Row],[1h Change (%)]]*24</f>
        <v>0.25440000000000002</v>
      </c>
      <c r="M94">
        <f>Cleaned_Data[[#This Row],[24h Change (%)]]*7</f>
        <v>1.7808000000000002</v>
      </c>
      <c r="N94" t="str" cm="1">
        <f t="array" ref="N94">_xlfn.IFS(Cleaned_Data[[#This Row],[Price (USD)]]&lt;0.05,"0 - 0.05",Cleaned_Data[[#This Row],[Price (USD)]]&lt;0.5,"0.05 - 0.5",Cleaned_Data[[#This Row],[Price (USD)]]&lt;5,"0.5 - 5",Cleaned_Data[[#This Row],[Price (USD)]]&lt;50,"5 - 50",Cleaned_Data[[#This Row],[Price (USD)]]&gt;=50,"&gt; 50")</f>
        <v>0 - 0.05</v>
      </c>
      <c r="O94">
        <f>(Cleaned_Data[[#This Row],[1h Change (%)]]+Cleaned_Data[[#This Row],[24h Change (%)]]+Cleaned_Data[[#This Row],[7d Change (%)]])/3</f>
        <v>0.68193333333333339</v>
      </c>
      <c r="P94">
        <f>Cleaned_Data[[#This Row],[Price (USD)]]/(1+Cleaned_Data[[#This Row],[1h Change (%)]]/100)</f>
        <v>5.4994170617914499E-3</v>
      </c>
      <c r="Q94">
        <f>Cleaned_Data[[#This Row],[Price (USD)]]/(1-Cleaned_Data[[#This Row],[24h Change (%)]]/100)</f>
        <v>5.5140276864342882E-3</v>
      </c>
      <c r="R94">
        <f>Cleaned_Data[[#This Row],[Price (USD)]]/(1+Cleaned_Data[[#This Row],[7d Change (%)]]/100)</f>
        <v>5.4037696697215969E-3</v>
      </c>
      <c r="S94">
        <f>Cleaned_Data[[#This Row],[Price (USD)]]-Cleaned_Data[[#This Row],[1-Hour Before Price]]</f>
        <v>5.8293820854975198E-7</v>
      </c>
    </row>
    <row r="95" spans="1:19" x14ac:dyDescent="0.3">
      <c r="A95" t="s">
        <v>614</v>
      </c>
      <c r="B95" t="s">
        <v>615</v>
      </c>
      <c r="C95">
        <v>3.8899999999999997E-2</v>
      </c>
      <c r="D95">
        <v>0</v>
      </c>
      <c r="E95">
        <v>18667205</v>
      </c>
      <c r="F95">
        <v>1002</v>
      </c>
      <c r="G95" t="s">
        <v>619</v>
      </c>
      <c r="H95">
        <v>479990000</v>
      </c>
      <c r="I95">
        <f>Cleaned_Data[[#This Row],[Volume (24h) USD]]/Cleaned_Data[[#This Row],[Circulating_Supply($)]]</f>
        <v>2.0875434904893851E-6</v>
      </c>
      <c r="J95">
        <f>RANK(Cleaned_Data[[#This Row],[Market Cap]],Cleaned_Data[Market Cap],0)</f>
        <v>94</v>
      </c>
      <c r="K95" t="str">
        <f t="shared" si="2"/>
        <v>0-0.5</v>
      </c>
      <c r="L95">
        <f>Cleaned_Data[[#This Row],[1h Change (%)]]*24</f>
        <v>0</v>
      </c>
      <c r="M95">
        <f>Cleaned_Data[[#This Row],[24h Change (%)]]*7</f>
        <v>0</v>
      </c>
      <c r="N95" t="str" cm="1">
        <f t="array" ref="N95">_xlfn.IFS(Cleaned_Data[[#This Row],[Price (USD)]]&lt;0.05,"0 - 0.05",Cleaned_Data[[#This Row],[Price (USD)]]&lt;0.5,"0.05 - 0.5",Cleaned_Data[[#This Row],[Price (USD)]]&lt;5,"0.5 - 5",Cleaned_Data[[#This Row],[Price (USD)]]&lt;50,"5 - 50",Cleaned_Data[[#This Row],[Price (USD)]]&gt;=50,"&gt; 50")</f>
        <v>0 - 0.05</v>
      </c>
      <c r="O95">
        <f>(Cleaned_Data[[#This Row],[1h Change (%)]]+Cleaned_Data[[#This Row],[24h Change (%)]]+Cleaned_Data[[#This Row],[7d Change (%)]])/3</f>
        <v>0</v>
      </c>
      <c r="P95">
        <f>Cleaned_Data[[#This Row],[Price (USD)]]/(1+Cleaned_Data[[#This Row],[1h Change (%)]]/100)</f>
        <v>3.8899999999999997E-2</v>
      </c>
      <c r="Q95">
        <f>Cleaned_Data[[#This Row],[Price (USD)]]/(1-Cleaned_Data[[#This Row],[24h Change (%)]]/100)</f>
        <v>3.8899999999999997E-2</v>
      </c>
      <c r="R95">
        <f>Cleaned_Data[[#This Row],[Price (USD)]]/(1+Cleaned_Data[[#This Row],[7d Change (%)]]/100)</f>
        <v>3.8899999999999997E-2</v>
      </c>
      <c r="S95">
        <f>Cleaned_Data[[#This Row],[Price (USD)]]-Cleaned_Data[[#This Row],[1-Hour Before Price]]</f>
        <v>0</v>
      </c>
    </row>
    <row r="96" spans="1:19" x14ac:dyDescent="0.3">
      <c r="A96" t="s">
        <v>620</v>
      </c>
      <c r="B96" t="s">
        <v>621</v>
      </c>
      <c r="C96">
        <v>9.4000000000000004E-3</v>
      </c>
      <c r="D96">
        <v>4.0000000000000002E-4</v>
      </c>
      <c r="E96">
        <v>18606007</v>
      </c>
      <c r="F96">
        <v>189918</v>
      </c>
      <c r="G96" t="s">
        <v>625</v>
      </c>
      <c r="H96">
        <v>1980000000</v>
      </c>
      <c r="I96">
        <f>Cleaned_Data[[#This Row],[Volume (24h) USD]]/Cleaned_Data[[#This Row],[Circulating_Supply($)]]</f>
        <v>9.591818181818182E-5</v>
      </c>
      <c r="J96">
        <f>RANK(Cleaned_Data[[#This Row],[Market Cap]],Cleaned_Data[Market Cap],0)</f>
        <v>95</v>
      </c>
      <c r="K96" t="str">
        <f t="shared" si="2"/>
        <v>0-0.5</v>
      </c>
      <c r="L96">
        <f>Cleaned_Data[[#This Row],[1h Change (%)]]*24</f>
        <v>9.6000000000000009E-3</v>
      </c>
      <c r="M96">
        <f>Cleaned_Data[[#This Row],[24h Change (%)]]*7</f>
        <v>6.720000000000001E-2</v>
      </c>
      <c r="N96" t="str" cm="1">
        <f t="array" ref="N96">_xlfn.IFS(Cleaned_Data[[#This Row],[Price (USD)]]&lt;0.05,"0 - 0.05",Cleaned_Data[[#This Row],[Price (USD)]]&lt;0.5,"0.05 - 0.5",Cleaned_Data[[#This Row],[Price (USD)]]&lt;5,"0.5 - 5",Cleaned_Data[[#This Row],[Price (USD)]]&lt;50,"5 - 50",Cleaned_Data[[#This Row],[Price (USD)]]&gt;=50,"&gt; 50")</f>
        <v>0 - 0.05</v>
      </c>
      <c r="O96">
        <f>(Cleaned_Data[[#This Row],[1h Change (%)]]+Cleaned_Data[[#This Row],[24h Change (%)]]+Cleaned_Data[[#This Row],[7d Change (%)]])/3</f>
        <v>2.5733333333333334E-2</v>
      </c>
      <c r="P96">
        <f>Cleaned_Data[[#This Row],[Price (USD)]]/(1+Cleaned_Data[[#This Row],[1h Change (%)]]/100)</f>
        <v>9.3999624001504002E-3</v>
      </c>
      <c r="Q96">
        <f>Cleaned_Data[[#This Row],[Price (USD)]]/(1-Cleaned_Data[[#This Row],[24h Change (%)]]/100)</f>
        <v>9.4009024866387181E-3</v>
      </c>
      <c r="R96">
        <f>Cleaned_Data[[#This Row],[Price (USD)]]/(1+Cleaned_Data[[#This Row],[7d Change (%)]]/100)</f>
        <v>9.3936874420389501E-3</v>
      </c>
      <c r="S96">
        <f>Cleaned_Data[[#This Row],[Price (USD)]]-Cleaned_Data[[#This Row],[1-Hour Before Price]]</f>
        <v>3.759984960015339E-8</v>
      </c>
    </row>
    <row r="97" spans="1:19" x14ac:dyDescent="0.3">
      <c r="A97" t="s">
        <v>626</v>
      </c>
      <c r="B97" t="s">
        <v>627</v>
      </c>
      <c r="C97">
        <v>6.6400000000000001E-2</v>
      </c>
      <c r="D97">
        <v>6.9999999999999999E-4</v>
      </c>
      <c r="E97">
        <v>18591856</v>
      </c>
      <c r="F97">
        <v>4765140</v>
      </c>
      <c r="G97" t="s">
        <v>631</v>
      </c>
      <c r="H97">
        <v>280000000</v>
      </c>
      <c r="I97">
        <f>Cleaned_Data[[#This Row],[Volume (24h) USD]]/Cleaned_Data[[#This Row],[Circulating_Supply($)]]</f>
        <v>1.7018357142857144E-2</v>
      </c>
      <c r="J97">
        <f>RANK(Cleaned_Data[[#This Row],[Market Cap]],Cleaned_Data[Market Cap],0)</f>
        <v>96</v>
      </c>
      <c r="K97" t="str">
        <f t="shared" si="2"/>
        <v>0-0.5</v>
      </c>
      <c r="L97">
        <f>Cleaned_Data[[#This Row],[1h Change (%)]]*24</f>
        <v>1.6799999999999999E-2</v>
      </c>
      <c r="M97">
        <f>Cleaned_Data[[#This Row],[24h Change (%)]]*7</f>
        <v>0.1176</v>
      </c>
      <c r="N97" t="str" cm="1">
        <f t="array" ref="N97">_xlfn.IFS(Cleaned_Data[[#This Row],[Price (USD)]]&lt;0.05,"0 - 0.05",Cleaned_Data[[#This Row],[Price (USD)]]&lt;0.5,"0.05 - 0.5",Cleaned_Data[[#This Row],[Price (USD)]]&lt;5,"0.5 - 5",Cleaned_Data[[#This Row],[Price (USD)]]&lt;50,"5 - 50",Cleaned_Data[[#This Row],[Price (USD)]]&gt;=50,"&gt; 50")</f>
        <v>0.05 - 0.5</v>
      </c>
      <c r="O97">
        <f>(Cleaned_Data[[#This Row],[1h Change (%)]]+Cleaned_Data[[#This Row],[24h Change (%)]]+Cleaned_Data[[#This Row],[7d Change (%)]])/3</f>
        <v>4.5033333333333335E-2</v>
      </c>
      <c r="P97">
        <f>Cleaned_Data[[#This Row],[Price (USD)]]/(1+Cleaned_Data[[#This Row],[1h Change (%)]]/100)</f>
        <v>6.6399535203253576E-2</v>
      </c>
      <c r="Q97">
        <f>Cleaned_Data[[#This Row],[Price (USD)]]/(1-Cleaned_Data[[#This Row],[24h Change (%)]]/100)</f>
        <v>6.6411157074388494E-2</v>
      </c>
      <c r="R97">
        <f>Cleaned_Data[[#This Row],[Price (USD)]]/(1+Cleaned_Data[[#This Row],[7d Change (%)]]/100)</f>
        <v>6.6322005321741623E-2</v>
      </c>
      <c r="S97">
        <f>Cleaned_Data[[#This Row],[Price (USD)]]-Cleaned_Data[[#This Row],[1-Hour Before Price]]</f>
        <v>4.6479674642441182E-7</v>
      </c>
    </row>
    <row r="98" spans="1:19" x14ac:dyDescent="0.3">
      <c r="A98" t="s">
        <v>632</v>
      </c>
      <c r="B98" t="s">
        <v>633</v>
      </c>
      <c r="C98">
        <v>2.18E-2</v>
      </c>
      <c r="D98">
        <v>7.7000000000000002E-3</v>
      </c>
      <c r="E98">
        <v>18540898</v>
      </c>
      <c r="F98">
        <v>4492892</v>
      </c>
      <c r="G98" t="s">
        <v>637</v>
      </c>
      <c r="H98">
        <v>850960000</v>
      </c>
      <c r="I98">
        <f>Cleaned_Data[[#This Row],[Volume (24h) USD]]/Cleaned_Data[[#This Row],[Circulating_Supply($)]]</f>
        <v>5.2797922346526274E-3</v>
      </c>
      <c r="J98">
        <f>RANK(Cleaned_Data[[#This Row],[Market Cap]],Cleaned_Data[Market Cap],0)</f>
        <v>97</v>
      </c>
      <c r="K98" t="str">
        <f t="shared" ref="K98:K129" si="3">IF(C98&lt;=0.5,"0-0.5",
IF(C98&lt;=1,"0.5-1",
IF(C98&lt;=2,"1-2",
IF(C98&lt;=10,"2-10",
IF(C98&lt;=100,"10-100",
IF(C98&lt;=10000,"100-10000",
"10000+"))))))</f>
        <v>0-0.5</v>
      </c>
      <c r="L98">
        <f>Cleaned_Data[[#This Row],[1h Change (%)]]*24</f>
        <v>0.18480000000000002</v>
      </c>
      <c r="M98">
        <f>Cleaned_Data[[#This Row],[24h Change (%)]]*7</f>
        <v>1.2936000000000001</v>
      </c>
      <c r="N98" t="str" cm="1">
        <f t="array" ref="N98">_xlfn.IFS(Cleaned_Data[[#This Row],[Price (USD)]]&lt;0.05,"0 - 0.05",Cleaned_Data[[#This Row],[Price (USD)]]&lt;0.5,"0.05 - 0.5",Cleaned_Data[[#This Row],[Price (USD)]]&lt;5,"0.5 - 5",Cleaned_Data[[#This Row],[Price (USD)]]&lt;50,"5 - 50",Cleaned_Data[[#This Row],[Price (USD)]]&gt;=50,"&gt; 50")</f>
        <v>0 - 0.05</v>
      </c>
      <c r="O98">
        <f>(Cleaned_Data[[#This Row],[1h Change (%)]]+Cleaned_Data[[#This Row],[24h Change (%)]]+Cleaned_Data[[#This Row],[7d Change (%)]])/3</f>
        <v>0.49536666666666673</v>
      </c>
      <c r="P98">
        <f>Cleaned_Data[[#This Row],[Price (USD)]]/(1+Cleaned_Data[[#This Row],[1h Change (%)]]/100)</f>
        <v>2.1798321529242246E-2</v>
      </c>
      <c r="Q98">
        <f>Cleaned_Data[[#This Row],[Price (USD)]]/(1-Cleaned_Data[[#This Row],[24h Change (%)]]/100)</f>
        <v>2.1840360987104169E-2</v>
      </c>
      <c r="R98">
        <f>Cleaned_Data[[#This Row],[Price (USD)]]/(1+Cleaned_Data[[#This Row],[7d Change (%)]]/100)</f>
        <v>2.1521596626045473E-2</v>
      </c>
      <c r="S98">
        <f>Cleaned_Data[[#This Row],[Price (USD)]]-Cleaned_Data[[#This Row],[1-Hour Before Price]]</f>
        <v>1.6784707577537084E-6</v>
      </c>
    </row>
    <row r="99" spans="1:19" x14ac:dyDescent="0.3">
      <c r="A99" t="s">
        <v>638</v>
      </c>
      <c r="B99" t="s">
        <v>639</v>
      </c>
      <c r="C99">
        <v>16.850000000000001</v>
      </c>
      <c r="D99">
        <v>5.0000000000000001E-3</v>
      </c>
      <c r="E99">
        <v>18536240</v>
      </c>
      <c r="F99">
        <v>119734</v>
      </c>
      <c r="G99" t="s">
        <v>643</v>
      </c>
      <c r="H99">
        <v>1100000</v>
      </c>
      <c r="I99">
        <f>Cleaned_Data[[#This Row],[Volume (24h) USD]]/Cleaned_Data[[#This Row],[Circulating_Supply($)]]</f>
        <v>0.10884909090909091</v>
      </c>
      <c r="J99">
        <f>RANK(Cleaned_Data[[#This Row],[Market Cap]],Cleaned_Data[Market Cap],0)</f>
        <v>98</v>
      </c>
      <c r="K99" t="str">
        <f t="shared" si="3"/>
        <v>10-100</v>
      </c>
      <c r="L99">
        <f>Cleaned_Data[[#This Row],[1h Change (%)]]*24</f>
        <v>0.12</v>
      </c>
      <c r="M99">
        <f>Cleaned_Data[[#This Row],[24h Change (%)]]*7</f>
        <v>0.84</v>
      </c>
      <c r="N99" t="str" cm="1">
        <f t="array" ref="N99">_xlfn.IFS(Cleaned_Data[[#This Row],[Price (USD)]]&lt;0.05,"0 - 0.05",Cleaned_Data[[#This Row],[Price (USD)]]&lt;0.5,"0.05 - 0.5",Cleaned_Data[[#This Row],[Price (USD)]]&lt;5,"0.5 - 5",Cleaned_Data[[#This Row],[Price (USD)]]&lt;50,"5 - 50",Cleaned_Data[[#This Row],[Price (USD)]]&gt;=50,"&gt; 50")</f>
        <v>5 - 50</v>
      </c>
      <c r="O99">
        <f>(Cleaned_Data[[#This Row],[1h Change (%)]]+Cleaned_Data[[#This Row],[24h Change (%)]]+Cleaned_Data[[#This Row],[7d Change (%)]])/3</f>
        <v>0.32166666666666666</v>
      </c>
      <c r="P99">
        <f>Cleaned_Data[[#This Row],[Price (USD)]]/(1+Cleaned_Data[[#This Row],[1h Change (%)]]/100)</f>
        <v>16.849157542122892</v>
      </c>
      <c r="Q99">
        <f>Cleaned_Data[[#This Row],[Price (USD)]]/(1-Cleaned_Data[[#This Row],[24h Change (%)]]/100)</f>
        <v>16.870244293151782</v>
      </c>
      <c r="R99">
        <f>Cleaned_Data[[#This Row],[Price (USD)]]/(1+Cleaned_Data[[#This Row],[7d Change (%)]]/100)</f>
        <v>16.709639032130109</v>
      </c>
      <c r="S99">
        <f>Cleaned_Data[[#This Row],[Price (USD)]]-Cleaned_Data[[#This Row],[1-Hour Before Price]]</f>
        <v>8.4245787710912623E-4</v>
      </c>
    </row>
    <row r="100" spans="1:19" x14ac:dyDescent="0.3">
      <c r="A100" t="s">
        <v>644</v>
      </c>
      <c r="B100" t="s">
        <v>645</v>
      </c>
      <c r="C100">
        <v>0.1108</v>
      </c>
      <c r="D100">
        <v>1.04E-2</v>
      </c>
      <c r="E100">
        <v>14785022</v>
      </c>
      <c r="F100">
        <v>32485149</v>
      </c>
      <c r="G100" t="s">
        <v>650</v>
      </c>
      <c r="H100">
        <v>133389999.99999999</v>
      </c>
      <c r="I100">
        <f>Cleaned_Data[[#This Row],[Volume (24h) USD]]/Cleaned_Data[[#This Row],[Circulating_Supply($)]]</f>
        <v>0.24353511507609268</v>
      </c>
      <c r="J100">
        <f>RANK(Cleaned_Data[[#This Row],[Market Cap]],Cleaned_Data[Market Cap],0)</f>
        <v>99</v>
      </c>
      <c r="K100" t="str">
        <f t="shared" si="3"/>
        <v>0-0.5</v>
      </c>
      <c r="L100">
        <f>Cleaned_Data[[#This Row],[1h Change (%)]]*24</f>
        <v>0.24959999999999999</v>
      </c>
      <c r="M100">
        <f>Cleaned_Data[[#This Row],[24h Change (%)]]*7</f>
        <v>1.7471999999999999</v>
      </c>
      <c r="N100" t="str" cm="1">
        <f t="array" ref="N100">_xlfn.IFS(Cleaned_Data[[#This Row],[Price (USD)]]&lt;0.05,"0 - 0.05",Cleaned_Data[[#This Row],[Price (USD)]]&lt;0.5,"0.05 - 0.5",Cleaned_Data[[#This Row],[Price (USD)]]&lt;5,"0.5 - 5",Cleaned_Data[[#This Row],[Price (USD)]]&lt;50,"5 - 50",Cleaned_Data[[#This Row],[Price (USD)]]&gt;=50,"&gt; 50")</f>
        <v>0.05 - 0.5</v>
      </c>
      <c r="O100">
        <f>(Cleaned_Data[[#This Row],[1h Change (%)]]+Cleaned_Data[[#This Row],[24h Change (%)]]+Cleaned_Data[[#This Row],[7d Change (%)]])/3</f>
        <v>0.6690666666666667</v>
      </c>
      <c r="P100">
        <f>Cleaned_Data[[#This Row],[Price (USD)]]/(1+Cleaned_Data[[#This Row],[1h Change (%)]]/100)</f>
        <v>0.11078847799828816</v>
      </c>
      <c r="Q100">
        <f>Cleaned_Data[[#This Row],[Price (USD)]]/(1-Cleaned_Data[[#This Row],[24h Change (%)]]/100)</f>
        <v>0.11107724881303735</v>
      </c>
      <c r="R100">
        <f>Cleaned_Data[[#This Row],[Price (USD)]]/(1+Cleaned_Data[[#This Row],[7d Change (%)]]/100)</f>
        <v>0.10889734557806013</v>
      </c>
      <c r="S100">
        <f>Cleaned_Data[[#This Row],[Price (USD)]]-Cleaned_Data[[#This Row],[1-Hour Before Price]]</f>
        <v>1.1522001711838925E-5</v>
      </c>
    </row>
    <row r="101" spans="1:19" x14ac:dyDescent="0.3">
      <c r="A101" t="s">
        <v>651</v>
      </c>
      <c r="B101" t="s">
        <v>651</v>
      </c>
      <c r="C101">
        <v>7.0000000000000001E-3</v>
      </c>
      <c r="D101">
        <v>4.5999999999999999E-3</v>
      </c>
      <c r="E101">
        <v>14719301</v>
      </c>
      <c r="F101">
        <v>138</v>
      </c>
      <c r="G101" t="s">
        <v>656</v>
      </c>
      <c r="H101">
        <v>2089999999.9999998</v>
      </c>
      <c r="I101">
        <f>Cleaned_Data[[#This Row],[Volume (24h) USD]]/Cleaned_Data[[#This Row],[Circulating_Supply($)]]</f>
        <v>6.6028708133971298E-8</v>
      </c>
      <c r="J101">
        <f>RANK(Cleaned_Data[[#This Row],[Market Cap]],Cleaned_Data[Market Cap],0)</f>
        <v>100</v>
      </c>
      <c r="K101" t="str">
        <f t="shared" si="3"/>
        <v>0-0.5</v>
      </c>
      <c r="L101">
        <f>Cleaned_Data[[#This Row],[1h Change (%)]]*24</f>
        <v>0.1104</v>
      </c>
      <c r="M101">
        <f>Cleaned_Data[[#This Row],[24h Change (%)]]*7</f>
        <v>0.77279999999999993</v>
      </c>
      <c r="N101" t="str" cm="1">
        <f t="array" ref="N101">_xlfn.IFS(Cleaned_Data[[#This Row],[Price (USD)]]&lt;0.05,"0 - 0.05",Cleaned_Data[[#This Row],[Price (USD)]]&lt;0.5,"0.05 - 0.5",Cleaned_Data[[#This Row],[Price (USD)]]&lt;5,"0.5 - 5",Cleaned_Data[[#This Row],[Price (USD)]]&lt;50,"5 - 50",Cleaned_Data[[#This Row],[Price (USD)]]&gt;=50,"&gt; 50")</f>
        <v>0 - 0.05</v>
      </c>
      <c r="O101">
        <f>(Cleaned_Data[[#This Row],[1h Change (%)]]+Cleaned_Data[[#This Row],[24h Change (%)]]+Cleaned_Data[[#This Row],[7d Change (%)]])/3</f>
        <v>0.29593333333333333</v>
      </c>
      <c r="P101">
        <f>Cleaned_Data[[#This Row],[Price (USD)]]/(1+Cleaned_Data[[#This Row],[1h Change (%)]]/100)</f>
        <v>6.9996780148113185E-3</v>
      </c>
      <c r="Q101">
        <f>Cleaned_Data[[#This Row],[Price (USD)]]/(1-Cleaned_Data[[#This Row],[24h Change (%)]]/100)</f>
        <v>7.0077365411414204E-3</v>
      </c>
      <c r="R101">
        <f>Cleaned_Data[[#This Row],[Price (USD)]]/(1+Cleaned_Data[[#This Row],[7d Change (%)]]/100)</f>
        <v>6.9463188479430959E-3</v>
      </c>
      <c r="S101">
        <f>Cleaned_Data[[#This Row],[Price (USD)]]-Cleaned_Data[[#This Row],[1-Hour Before Price]]</f>
        <v>3.2198518868167825E-7</v>
      </c>
    </row>
    <row r="102" spans="1:19" x14ac:dyDescent="0.3">
      <c r="A102" t="s">
        <v>657</v>
      </c>
      <c r="B102" t="s">
        <v>658</v>
      </c>
      <c r="C102">
        <v>4.0000000000000002E-4</v>
      </c>
      <c r="D102">
        <v>1.1000000000000001E-3</v>
      </c>
      <c r="E102">
        <v>14681529</v>
      </c>
      <c r="F102">
        <v>499518</v>
      </c>
      <c r="G102" t="s">
        <v>662</v>
      </c>
      <c r="H102">
        <v>40640000000</v>
      </c>
      <c r="I102">
        <f>Cleaned_Data[[#This Row],[Volume (24h) USD]]/Cleaned_Data[[#This Row],[Circulating_Supply($)]]</f>
        <v>1.2291289370078741E-5</v>
      </c>
      <c r="J102">
        <f>RANK(Cleaned_Data[[#This Row],[Market Cap]],Cleaned_Data[Market Cap],0)</f>
        <v>101</v>
      </c>
      <c r="K102" t="str">
        <f t="shared" si="3"/>
        <v>0-0.5</v>
      </c>
      <c r="L102">
        <f>Cleaned_Data[[#This Row],[1h Change (%)]]*24</f>
        <v>2.64E-2</v>
      </c>
      <c r="M102">
        <f>Cleaned_Data[[#This Row],[24h Change (%)]]*7</f>
        <v>0.18479999999999999</v>
      </c>
      <c r="N102" t="str" cm="1">
        <f t="array" ref="N102">_xlfn.IFS(Cleaned_Data[[#This Row],[Price (USD)]]&lt;0.05,"0 - 0.05",Cleaned_Data[[#This Row],[Price (USD)]]&lt;0.5,"0.05 - 0.5",Cleaned_Data[[#This Row],[Price (USD)]]&lt;5,"0.5 - 5",Cleaned_Data[[#This Row],[Price (USD)]]&lt;50,"5 - 50",Cleaned_Data[[#This Row],[Price (USD)]]&gt;=50,"&gt; 50")</f>
        <v>0 - 0.05</v>
      </c>
      <c r="O102">
        <f>(Cleaned_Data[[#This Row],[1h Change (%)]]+Cleaned_Data[[#This Row],[24h Change (%)]]+Cleaned_Data[[#This Row],[7d Change (%)]])/3</f>
        <v>7.0766666666666658E-2</v>
      </c>
      <c r="P102">
        <f>Cleaned_Data[[#This Row],[Price (USD)]]/(1+Cleaned_Data[[#This Row],[1h Change (%)]]/100)</f>
        <v>3.9999560004839947E-4</v>
      </c>
      <c r="Q102">
        <f>Cleaned_Data[[#This Row],[Price (USD)]]/(1-Cleaned_Data[[#This Row],[24h Change (%)]]/100)</f>
        <v>4.0010562788576188E-4</v>
      </c>
      <c r="R102">
        <f>Cleaned_Data[[#This Row],[Price (USD)]]/(1+Cleaned_Data[[#This Row],[7d Change (%)]]/100)</f>
        <v>3.9926216352181171E-4</v>
      </c>
      <c r="S102">
        <f>Cleaned_Data[[#This Row],[Price (USD)]]-Cleaned_Data[[#This Row],[1-Hour Before Price]]</f>
        <v>4.3999516005470418E-9</v>
      </c>
    </row>
    <row r="103" spans="1:19" x14ac:dyDescent="0.3">
      <c r="A103" t="s">
        <v>663</v>
      </c>
      <c r="B103" t="s">
        <v>664</v>
      </c>
      <c r="C103">
        <v>2.0000000000000001E-4</v>
      </c>
      <c r="D103">
        <v>5.1999999999999998E-3</v>
      </c>
      <c r="E103">
        <v>14616635</v>
      </c>
      <c r="F103">
        <v>6112676</v>
      </c>
      <c r="G103" t="s">
        <v>668</v>
      </c>
      <c r="H103">
        <v>69000000000</v>
      </c>
      <c r="I103">
        <f>Cleaned_Data[[#This Row],[Volume (24h) USD]]/Cleaned_Data[[#This Row],[Circulating_Supply($)]]</f>
        <v>8.8589507246376807E-5</v>
      </c>
      <c r="J103">
        <f>RANK(Cleaned_Data[[#This Row],[Market Cap]],Cleaned_Data[Market Cap],0)</f>
        <v>102</v>
      </c>
      <c r="K103" t="str">
        <f t="shared" si="3"/>
        <v>0-0.5</v>
      </c>
      <c r="L103">
        <f>Cleaned_Data[[#This Row],[1h Change (%)]]*24</f>
        <v>0.12479999999999999</v>
      </c>
      <c r="M103">
        <f>Cleaned_Data[[#This Row],[24h Change (%)]]*7</f>
        <v>0.87359999999999993</v>
      </c>
      <c r="N103" t="str" cm="1">
        <f t="array" ref="N103">_xlfn.IFS(Cleaned_Data[[#This Row],[Price (USD)]]&lt;0.05,"0 - 0.05",Cleaned_Data[[#This Row],[Price (USD)]]&lt;0.5,"0.05 - 0.5",Cleaned_Data[[#This Row],[Price (USD)]]&lt;5,"0.5 - 5",Cleaned_Data[[#This Row],[Price (USD)]]&lt;50,"5 - 50",Cleaned_Data[[#This Row],[Price (USD)]]&gt;=50,"&gt; 50")</f>
        <v>0 - 0.05</v>
      </c>
      <c r="O103">
        <f>(Cleaned_Data[[#This Row],[1h Change (%)]]+Cleaned_Data[[#This Row],[24h Change (%)]]+Cleaned_Data[[#This Row],[7d Change (%)]])/3</f>
        <v>0.33453333333333335</v>
      </c>
      <c r="P103">
        <f>Cleaned_Data[[#This Row],[Price (USD)]]/(1+Cleaned_Data[[#This Row],[1h Change (%)]]/100)</f>
        <v>1.999896005407719E-4</v>
      </c>
      <c r="Q103">
        <f>Cleaned_Data[[#This Row],[Price (USD)]]/(1-Cleaned_Data[[#This Row],[24h Change (%)]]/100)</f>
        <v>2.0024991189003879E-4</v>
      </c>
      <c r="R103">
        <f>Cleaned_Data[[#This Row],[Price (USD)]]/(1+Cleaned_Data[[#This Row],[7d Change (%)]]/100)</f>
        <v>1.9826793135171146E-4</v>
      </c>
      <c r="S103">
        <f>Cleaned_Data[[#This Row],[Price (USD)]]-Cleaned_Data[[#This Row],[1-Hour Before Price]]</f>
        <v>1.0399459228114215E-8</v>
      </c>
    </row>
    <row r="104" spans="1:19" x14ac:dyDescent="0.3">
      <c r="A104" t="s">
        <v>669</v>
      </c>
      <c r="B104" t="s">
        <v>670</v>
      </c>
      <c r="C104">
        <v>3.32E-2</v>
      </c>
      <c r="D104">
        <v>0</v>
      </c>
      <c r="E104">
        <v>14606826</v>
      </c>
      <c r="F104">
        <v>4251361</v>
      </c>
      <c r="G104" t="s">
        <v>674</v>
      </c>
      <c r="H104">
        <v>439650000</v>
      </c>
      <c r="I104">
        <f>Cleaned_Data[[#This Row],[Volume (24h) USD]]/Cleaned_Data[[#This Row],[Circulating_Supply($)]]</f>
        <v>9.6698760377573068E-3</v>
      </c>
      <c r="J104">
        <f>RANK(Cleaned_Data[[#This Row],[Market Cap]],Cleaned_Data[Market Cap],0)</f>
        <v>103</v>
      </c>
      <c r="K104" t="str">
        <f t="shared" si="3"/>
        <v>0-0.5</v>
      </c>
      <c r="L104">
        <f>Cleaned_Data[[#This Row],[1h Change (%)]]*24</f>
        <v>0</v>
      </c>
      <c r="M104">
        <f>Cleaned_Data[[#This Row],[24h Change (%)]]*7</f>
        <v>0</v>
      </c>
      <c r="N104" t="str" cm="1">
        <f t="array" ref="N104">_xlfn.IFS(Cleaned_Data[[#This Row],[Price (USD)]]&lt;0.05,"0 - 0.05",Cleaned_Data[[#This Row],[Price (USD)]]&lt;0.5,"0.05 - 0.5",Cleaned_Data[[#This Row],[Price (USD)]]&lt;5,"0.5 - 5",Cleaned_Data[[#This Row],[Price (USD)]]&lt;50,"5 - 50",Cleaned_Data[[#This Row],[Price (USD)]]&gt;=50,"&gt; 50")</f>
        <v>0 - 0.05</v>
      </c>
      <c r="O104">
        <f>(Cleaned_Data[[#This Row],[1h Change (%)]]+Cleaned_Data[[#This Row],[24h Change (%)]]+Cleaned_Data[[#This Row],[7d Change (%)]])/3</f>
        <v>0</v>
      </c>
      <c r="P104">
        <f>Cleaned_Data[[#This Row],[Price (USD)]]/(1+Cleaned_Data[[#This Row],[1h Change (%)]]/100)</f>
        <v>3.32E-2</v>
      </c>
      <c r="Q104">
        <f>Cleaned_Data[[#This Row],[Price (USD)]]/(1-Cleaned_Data[[#This Row],[24h Change (%)]]/100)</f>
        <v>3.32E-2</v>
      </c>
      <c r="R104">
        <f>Cleaned_Data[[#This Row],[Price (USD)]]/(1+Cleaned_Data[[#This Row],[7d Change (%)]]/100)</f>
        <v>3.32E-2</v>
      </c>
      <c r="S104">
        <f>Cleaned_Data[[#This Row],[Price (USD)]]-Cleaned_Data[[#This Row],[1-Hour Before Price]]</f>
        <v>0</v>
      </c>
    </row>
    <row r="105" spans="1:19" x14ac:dyDescent="0.3">
      <c r="A105" t="s">
        <v>675</v>
      </c>
      <c r="B105" t="s">
        <v>676</v>
      </c>
      <c r="C105">
        <v>2.9899999999999999E-2</v>
      </c>
      <c r="D105">
        <v>1E-4</v>
      </c>
      <c r="E105">
        <v>14570562</v>
      </c>
      <c r="F105">
        <v>316134</v>
      </c>
      <c r="G105" t="s">
        <v>680</v>
      </c>
      <c r="H105">
        <v>487690000</v>
      </c>
      <c r="I105">
        <f>Cleaned_Data[[#This Row],[Volume (24h) USD]]/Cleaned_Data[[#This Row],[Circulating_Supply($)]]</f>
        <v>6.4822735754270131E-4</v>
      </c>
      <c r="J105">
        <f>RANK(Cleaned_Data[[#This Row],[Market Cap]],Cleaned_Data[Market Cap],0)</f>
        <v>104</v>
      </c>
      <c r="K105" t="str">
        <f t="shared" si="3"/>
        <v>0-0.5</v>
      </c>
      <c r="L105">
        <f>Cleaned_Data[[#This Row],[1h Change (%)]]*24</f>
        <v>2.4000000000000002E-3</v>
      </c>
      <c r="M105">
        <f>Cleaned_Data[[#This Row],[24h Change (%)]]*7</f>
        <v>1.6800000000000002E-2</v>
      </c>
      <c r="N105" t="str" cm="1">
        <f t="array" ref="N105">_xlfn.IFS(Cleaned_Data[[#This Row],[Price (USD)]]&lt;0.05,"0 - 0.05",Cleaned_Data[[#This Row],[Price (USD)]]&lt;0.5,"0.05 - 0.5",Cleaned_Data[[#This Row],[Price (USD)]]&lt;5,"0.5 - 5",Cleaned_Data[[#This Row],[Price (USD)]]&lt;50,"5 - 50",Cleaned_Data[[#This Row],[Price (USD)]]&gt;=50,"&gt; 50")</f>
        <v>0 - 0.05</v>
      </c>
      <c r="O105">
        <f>(Cleaned_Data[[#This Row],[1h Change (%)]]+Cleaned_Data[[#This Row],[24h Change (%)]]+Cleaned_Data[[#This Row],[7d Change (%)]])/3</f>
        <v>6.4333333333333334E-3</v>
      </c>
      <c r="P105">
        <f>Cleaned_Data[[#This Row],[Price (USD)]]/(1+Cleaned_Data[[#This Row],[1h Change (%)]]/100)</f>
        <v>2.9899970100029902E-2</v>
      </c>
      <c r="Q105">
        <f>Cleaned_Data[[#This Row],[Price (USD)]]/(1-Cleaned_Data[[#This Row],[24h Change (%)]]/100)</f>
        <v>2.9900717617222815E-2</v>
      </c>
      <c r="R105">
        <f>Cleaned_Data[[#This Row],[Price (USD)]]/(1+Cleaned_Data[[#This Row],[7d Change (%)]]/100)</f>
        <v>2.989497764375585E-2</v>
      </c>
      <c r="S105">
        <f>Cleaned_Data[[#This Row],[Price (USD)]]-Cleaned_Data[[#This Row],[1-Hour Before Price]]</f>
        <v>2.9899970097058137E-8</v>
      </c>
    </row>
    <row r="106" spans="1:19" x14ac:dyDescent="0.3">
      <c r="A106" t="s">
        <v>681</v>
      </c>
      <c r="B106" t="s">
        <v>682</v>
      </c>
      <c r="C106">
        <v>7.1599999999999997E-2</v>
      </c>
      <c r="D106">
        <v>4.1000000000000003E-3</v>
      </c>
      <c r="E106">
        <v>14516193</v>
      </c>
      <c r="F106">
        <v>542805</v>
      </c>
      <c r="G106" t="s">
        <v>687</v>
      </c>
      <c r="H106">
        <v>899590000000000</v>
      </c>
      <c r="I106">
        <f>Cleaned_Data[[#This Row],[Volume (24h) USD]]/Cleaned_Data[[#This Row],[Circulating_Supply($)]]</f>
        <v>6.0339154503718361E-10</v>
      </c>
      <c r="J106">
        <f>RANK(Cleaned_Data[[#This Row],[Market Cap]],Cleaned_Data[Market Cap],0)</f>
        <v>105</v>
      </c>
      <c r="K106" t="str">
        <f t="shared" si="3"/>
        <v>0-0.5</v>
      </c>
      <c r="L106">
        <f>Cleaned_Data[[#This Row],[1h Change (%)]]*24</f>
        <v>9.8400000000000015E-2</v>
      </c>
      <c r="M106">
        <f>Cleaned_Data[[#This Row],[24h Change (%)]]*7</f>
        <v>0.68880000000000008</v>
      </c>
      <c r="N106" t="str" cm="1">
        <f t="array" ref="N106">_xlfn.IFS(Cleaned_Data[[#This Row],[Price (USD)]]&lt;0.05,"0 - 0.05",Cleaned_Data[[#This Row],[Price (USD)]]&lt;0.5,"0.05 - 0.5",Cleaned_Data[[#This Row],[Price (USD)]]&lt;5,"0.5 - 5",Cleaned_Data[[#This Row],[Price (USD)]]&lt;50,"5 - 50",Cleaned_Data[[#This Row],[Price (USD)]]&gt;=50,"&gt; 50")</f>
        <v>0.05 - 0.5</v>
      </c>
      <c r="O106">
        <f>(Cleaned_Data[[#This Row],[1h Change (%)]]+Cleaned_Data[[#This Row],[24h Change (%)]]+Cleaned_Data[[#This Row],[7d Change (%)]])/3</f>
        <v>0.2637666666666667</v>
      </c>
      <c r="P106">
        <f>Cleaned_Data[[#This Row],[Price (USD)]]/(1+Cleaned_Data[[#This Row],[1h Change (%)]]/100)</f>
        <v>7.1597064520354664E-2</v>
      </c>
      <c r="Q106">
        <f>Cleaned_Data[[#This Row],[Price (USD)]]/(1-Cleaned_Data[[#This Row],[24h Change (%)]]/100)</f>
        <v>7.1670523795414678E-2</v>
      </c>
      <c r="R106">
        <f>Cleaned_Data[[#This Row],[Price (USD)]]/(1+Cleaned_Data[[#This Row],[7d Change (%)]]/100)</f>
        <v>7.1110192990680193E-2</v>
      </c>
      <c r="S106">
        <f>Cleaned_Data[[#This Row],[Price (USD)]]-Cleaned_Data[[#This Row],[1-Hour Before Price]]</f>
        <v>2.9354796453329168E-6</v>
      </c>
    </row>
    <row r="107" spans="1:19" x14ac:dyDescent="0.3">
      <c r="A107" t="s">
        <v>688</v>
      </c>
      <c r="B107" t="s">
        <v>689</v>
      </c>
      <c r="C107">
        <v>1.44E-2</v>
      </c>
      <c r="D107">
        <v>1.4E-3</v>
      </c>
      <c r="E107">
        <v>14440722</v>
      </c>
      <c r="F107">
        <v>1406872</v>
      </c>
      <c r="G107" t="s">
        <v>318</v>
      </c>
      <c r="H107">
        <v>999990000</v>
      </c>
      <c r="I107">
        <f>Cleaned_Data[[#This Row],[Volume (24h) USD]]/Cleaned_Data[[#This Row],[Circulating_Supply($)]]</f>
        <v>1.4068860688606886E-3</v>
      </c>
      <c r="J107">
        <f>RANK(Cleaned_Data[[#This Row],[Market Cap]],Cleaned_Data[Market Cap],0)</f>
        <v>106</v>
      </c>
      <c r="K107" t="str">
        <f t="shared" si="3"/>
        <v>0-0.5</v>
      </c>
      <c r="L107">
        <f>Cleaned_Data[[#This Row],[1h Change (%)]]*24</f>
        <v>3.3599999999999998E-2</v>
      </c>
      <c r="M107">
        <f>Cleaned_Data[[#This Row],[24h Change (%)]]*7</f>
        <v>0.23519999999999999</v>
      </c>
      <c r="N107" t="str" cm="1">
        <f t="array" ref="N107">_xlfn.IFS(Cleaned_Data[[#This Row],[Price (USD)]]&lt;0.05,"0 - 0.05",Cleaned_Data[[#This Row],[Price (USD)]]&lt;0.5,"0.05 - 0.5",Cleaned_Data[[#This Row],[Price (USD)]]&lt;5,"0.5 - 5",Cleaned_Data[[#This Row],[Price (USD)]]&lt;50,"5 - 50",Cleaned_Data[[#This Row],[Price (USD)]]&gt;=50,"&gt; 50")</f>
        <v>0 - 0.05</v>
      </c>
      <c r="O107">
        <f>(Cleaned_Data[[#This Row],[1h Change (%)]]+Cleaned_Data[[#This Row],[24h Change (%)]]+Cleaned_Data[[#This Row],[7d Change (%)]])/3</f>
        <v>9.006666666666667E-2</v>
      </c>
      <c r="P107">
        <f>Cleaned_Data[[#This Row],[Price (USD)]]/(1+Cleaned_Data[[#This Row],[1h Change (%)]]/100)</f>
        <v>1.4399798402822361E-2</v>
      </c>
      <c r="Q107">
        <f>Cleaned_Data[[#This Row],[Price (USD)]]/(1-Cleaned_Data[[#This Row],[24h Change (%)]]/100)</f>
        <v>1.4404840026248819E-2</v>
      </c>
      <c r="R107">
        <f>Cleaned_Data[[#This Row],[Price (USD)]]/(1+Cleaned_Data[[#This Row],[7d Change (%)]]/100)</f>
        <v>1.4366210672498285E-2</v>
      </c>
      <c r="S107">
        <f>Cleaned_Data[[#This Row],[Price (USD)]]-Cleaned_Data[[#This Row],[1-Hour Before Price]]</f>
        <v>2.015971776389569E-7</v>
      </c>
    </row>
    <row r="108" spans="1:19" x14ac:dyDescent="0.3">
      <c r="A108" t="s">
        <v>693</v>
      </c>
      <c r="B108" t="s">
        <v>694</v>
      </c>
      <c r="C108">
        <v>0.1963</v>
      </c>
      <c r="D108">
        <v>8.0999999999999996E-3</v>
      </c>
      <c r="E108">
        <v>14425837</v>
      </c>
      <c r="F108">
        <v>686075</v>
      </c>
      <c r="G108" t="s">
        <v>699</v>
      </c>
      <c r="H108">
        <v>73460000</v>
      </c>
      <c r="I108">
        <f>Cleaned_Data[[#This Row],[Volume (24h) USD]]/Cleaned_Data[[#This Row],[Circulating_Supply($)]]</f>
        <v>9.3394364279880213E-3</v>
      </c>
      <c r="J108">
        <f>RANK(Cleaned_Data[[#This Row],[Market Cap]],Cleaned_Data[Market Cap],0)</f>
        <v>107</v>
      </c>
      <c r="K108" t="str">
        <f t="shared" si="3"/>
        <v>0-0.5</v>
      </c>
      <c r="L108">
        <f>Cleaned_Data[[#This Row],[1h Change (%)]]*24</f>
        <v>0.19439999999999999</v>
      </c>
      <c r="M108">
        <f>Cleaned_Data[[#This Row],[24h Change (%)]]*7</f>
        <v>1.3608</v>
      </c>
      <c r="N108" t="str" cm="1">
        <f t="array" ref="N108">_xlfn.IFS(Cleaned_Data[[#This Row],[Price (USD)]]&lt;0.05,"0 - 0.05",Cleaned_Data[[#This Row],[Price (USD)]]&lt;0.5,"0.05 - 0.5",Cleaned_Data[[#This Row],[Price (USD)]]&lt;5,"0.5 - 5",Cleaned_Data[[#This Row],[Price (USD)]]&lt;50,"5 - 50",Cleaned_Data[[#This Row],[Price (USD)]]&gt;=50,"&gt; 50")</f>
        <v>0.05 - 0.5</v>
      </c>
      <c r="O108">
        <f>(Cleaned_Data[[#This Row],[1h Change (%)]]+Cleaned_Data[[#This Row],[24h Change (%)]]+Cleaned_Data[[#This Row],[7d Change (%)]])/3</f>
        <v>0.52110000000000001</v>
      </c>
      <c r="P108">
        <f>Cleaned_Data[[#This Row],[Price (USD)]]/(1+Cleaned_Data[[#This Row],[1h Change (%)]]/100)</f>
        <v>0.19628410098781998</v>
      </c>
      <c r="Q108">
        <f>Cleaned_Data[[#This Row],[Price (USD)]]/(1-Cleaned_Data[[#This Row],[24h Change (%)]]/100)</f>
        <v>0.19668235048935129</v>
      </c>
      <c r="R108">
        <f>Cleaned_Data[[#This Row],[Price (USD)]]/(1+Cleaned_Data[[#This Row],[7d Change (%)]]/100)</f>
        <v>0.1936646119604423</v>
      </c>
      <c r="S108">
        <f>Cleaned_Data[[#This Row],[Price (USD)]]-Cleaned_Data[[#This Row],[1-Hour Before Price]]</f>
        <v>1.5899012180020655E-5</v>
      </c>
    </row>
    <row r="109" spans="1:19" x14ac:dyDescent="0.3">
      <c r="A109" t="s">
        <v>700</v>
      </c>
      <c r="B109" t="s">
        <v>701</v>
      </c>
      <c r="C109">
        <v>1.4800000000000001E-2</v>
      </c>
      <c r="D109">
        <v>1.1999999999999999E-3</v>
      </c>
      <c r="E109">
        <v>14389863</v>
      </c>
      <c r="F109">
        <v>34241</v>
      </c>
      <c r="G109" t="s">
        <v>705</v>
      </c>
      <c r="H109">
        <v>969990000</v>
      </c>
      <c r="I109">
        <f>Cleaned_Data[[#This Row],[Volume (24h) USD]]/Cleaned_Data[[#This Row],[Circulating_Supply($)]]</f>
        <v>3.5300363921277537E-5</v>
      </c>
      <c r="J109">
        <f>RANK(Cleaned_Data[[#This Row],[Market Cap]],Cleaned_Data[Market Cap],0)</f>
        <v>108</v>
      </c>
      <c r="K109" t="str">
        <f t="shared" si="3"/>
        <v>0-0.5</v>
      </c>
      <c r="L109">
        <f>Cleaned_Data[[#This Row],[1h Change (%)]]*24</f>
        <v>2.8799999999999999E-2</v>
      </c>
      <c r="M109">
        <f>Cleaned_Data[[#This Row],[24h Change (%)]]*7</f>
        <v>0.2016</v>
      </c>
      <c r="N109" t="str" cm="1">
        <f t="array" ref="N109">_xlfn.IFS(Cleaned_Data[[#This Row],[Price (USD)]]&lt;0.05,"0 - 0.05",Cleaned_Data[[#This Row],[Price (USD)]]&lt;0.5,"0.05 - 0.5",Cleaned_Data[[#This Row],[Price (USD)]]&lt;5,"0.5 - 5",Cleaned_Data[[#This Row],[Price (USD)]]&lt;50,"5 - 50",Cleaned_Data[[#This Row],[Price (USD)]]&gt;=50,"&gt; 50")</f>
        <v>0 - 0.05</v>
      </c>
      <c r="O109">
        <f>(Cleaned_Data[[#This Row],[1h Change (%)]]+Cleaned_Data[[#This Row],[24h Change (%)]]+Cleaned_Data[[#This Row],[7d Change (%)]])/3</f>
        <v>7.7200000000000005E-2</v>
      </c>
      <c r="P109">
        <f>Cleaned_Data[[#This Row],[Price (USD)]]/(1+Cleaned_Data[[#This Row],[1h Change (%)]]/100)</f>
        <v>1.4799822402131176E-2</v>
      </c>
      <c r="Q109">
        <f>Cleaned_Data[[#This Row],[Price (USD)]]/(1-Cleaned_Data[[#This Row],[24h Change (%)]]/100)</f>
        <v>1.4804263627924842E-2</v>
      </c>
      <c r="R109">
        <f>Cleaned_Data[[#This Row],[Price (USD)]]/(1+Cleaned_Data[[#This Row],[7d Change (%)]]/100)</f>
        <v>1.4770223229968384E-2</v>
      </c>
      <c r="S109">
        <f>Cleaned_Data[[#This Row],[Price (USD)]]-Cleaned_Data[[#This Row],[1-Hour Before Price]]</f>
        <v>1.7759786882440287E-7</v>
      </c>
    </row>
    <row r="110" spans="1:19" x14ac:dyDescent="0.3">
      <c r="A110" t="s">
        <v>706</v>
      </c>
      <c r="B110" t="s">
        <v>707</v>
      </c>
      <c r="C110">
        <v>4.2999999999999997E-2</v>
      </c>
      <c r="D110">
        <v>2.8E-3</v>
      </c>
      <c r="E110">
        <v>11345859</v>
      </c>
      <c r="F110">
        <v>810252</v>
      </c>
      <c r="G110" t="s">
        <v>712</v>
      </c>
      <c r="H110">
        <v>263730000.00000003</v>
      </c>
      <c r="I110">
        <f>Cleaned_Data[[#This Row],[Volume (24h) USD]]/Cleaned_Data[[#This Row],[Circulating_Supply($)]]</f>
        <v>3.0722784666135819E-3</v>
      </c>
      <c r="J110">
        <f>RANK(Cleaned_Data[[#This Row],[Market Cap]],Cleaned_Data[Market Cap],0)</f>
        <v>109</v>
      </c>
      <c r="K110" t="str">
        <f t="shared" si="3"/>
        <v>0-0.5</v>
      </c>
      <c r="L110">
        <f>Cleaned_Data[[#This Row],[1h Change (%)]]*24</f>
        <v>6.7199999999999996E-2</v>
      </c>
      <c r="M110">
        <f>Cleaned_Data[[#This Row],[24h Change (%)]]*7</f>
        <v>0.47039999999999998</v>
      </c>
      <c r="N110" t="str" cm="1">
        <f t="array" ref="N110">_xlfn.IFS(Cleaned_Data[[#This Row],[Price (USD)]]&lt;0.05,"0 - 0.05",Cleaned_Data[[#This Row],[Price (USD)]]&lt;0.5,"0.05 - 0.5",Cleaned_Data[[#This Row],[Price (USD)]]&lt;5,"0.5 - 5",Cleaned_Data[[#This Row],[Price (USD)]]&lt;50,"5 - 50",Cleaned_Data[[#This Row],[Price (USD)]]&gt;=50,"&gt; 50")</f>
        <v>0 - 0.05</v>
      </c>
      <c r="O110">
        <f>(Cleaned_Data[[#This Row],[1h Change (%)]]+Cleaned_Data[[#This Row],[24h Change (%)]]+Cleaned_Data[[#This Row],[7d Change (%)]])/3</f>
        <v>0.18013333333333334</v>
      </c>
      <c r="P110">
        <f>Cleaned_Data[[#This Row],[Price (USD)]]/(1+Cleaned_Data[[#This Row],[1h Change (%)]]/100)</f>
        <v>4.2998796033711054E-2</v>
      </c>
      <c r="Q110">
        <f>Cleaned_Data[[#This Row],[Price (USD)]]/(1-Cleaned_Data[[#This Row],[24h Change (%)]]/100)</f>
        <v>4.302891543116974E-2</v>
      </c>
      <c r="R110">
        <f>Cleaned_Data[[#This Row],[Price (USD)]]/(1+Cleaned_Data[[#This Row],[7d Change (%)]]/100)</f>
        <v>4.2798675032646429E-2</v>
      </c>
      <c r="S110">
        <f>Cleaned_Data[[#This Row],[Price (USD)]]-Cleaned_Data[[#This Row],[1-Hour Before Price]]</f>
        <v>1.2039662889429259E-6</v>
      </c>
    </row>
    <row r="111" spans="1:19" x14ac:dyDescent="0.3">
      <c r="A111" t="s">
        <v>713</v>
      </c>
      <c r="B111" t="s">
        <v>714</v>
      </c>
      <c r="C111">
        <v>1.6899999999999998E-2</v>
      </c>
      <c r="D111">
        <v>1.0999999999999999E-2</v>
      </c>
      <c r="E111">
        <v>11304052</v>
      </c>
      <c r="F111">
        <v>8799764</v>
      </c>
      <c r="G111" t="s">
        <v>719</v>
      </c>
      <c r="H111">
        <v>670180000</v>
      </c>
      <c r="I111">
        <f>Cleaned_Data[[#This Row],[Volume (24h) USD]]/Cleaned_Data[[#This Row],[Circulating_Supply($)]]</f>
        <v>1.3130448536214151E-2</v>
      </c>
      <c r="J111">
        <f>RANK(Cleaned_Data[[#This Row],[Market Cap]],Cleaned_Data[Market Cap],0)</f>
        <v>110</v>
      </c>
      <c r="K111" t="str">
        <f t="shared" si="3"/>
        <v>0-0.5</v>
      </c>
      <c r="L111">
        <f>Cleaned_Data[[#This Row],[1h Change (%)]]*24</f>
        <v>0.26400000000000001</v>
      </c>
      <c r="M111">
        <f>Cleaned_Data[[#This Row],[24h Change (%)]]*7</f>
        <v>1.8480000000000001</v>
      </c>
      <c r="N111" t="str" cm="1">
        <f t="array" ref="N111">_xlfn.IFS(Cleaned_Data[[#This Row],[Price (USD)]]&lt;0.05,"0 - 0.05",Cleaned_Data[[#This Row],[Price (USD)]]&lt;0.5,"0.05 - 0.5",Cleaned_Data[[#This Row],[Price (USD)]]&lt;5,"0.5 - 5",Cleaned_Data[[#This Row],[Price (USD)]]&lt;50,"5 - 50",Cleaned_Data[[#This Row],[Price (USD)]]&gt;=50,"&gt; 50")</f>
        <v>0 - 0.05</v>
      </c>
      <c r="O111">
        <f>(Cleaned_Data[[#This Row],[1h Change (%)]]+Cleaned_Data[[#This Row],[24h Change (%)]]+Cleaned_Data[[#This Row],[7d Change (%)]])/3</f>
        <v>0.70766666666666678</v>
      </c>
      <c r="P111">
        <f>Cleaned_Data[[#This Row],[Price (USD)]]/(1+Cleaned_Data[[#This Row],[1h Change (%)]]/100)</f>
        <v>1.6898141204467507E-2</v>
      </c>
      <c r="Q111">
        <f>Cleaned_Data[[#This Row],[Price (USD)]]/(1-Cleaned_Data[[#This Row],[24h Change (%)]]/100)</f>
        <v>1.6944734098018766E-2</v>
      </c>
      <c r="R111">
        <f>Cleaned_Data[[#This Row],[Price (USD)]]/(1+Cleaned_Data[[#This Row],[7d Change (%)]]/100)</f>
        <v>1.6593354803236194E-2</v>
      </c>
      <c r="S111">
        <f>Cleaned_Data[[#This Row],[Price (USD)]]-Cleaned_Data[[#This Row],[1-Hour Before Price]]</f>
        <v>1.8587955324909922E-6</v>
      </c>
    </row>
    <row r="112" spans="1:19" x14ac:dyDescent="0.3">
      <c r="A112" t="s">
        <v>720</v>
      </c>
      <c r="B112" t="s">
        <v>721</v>
      </c>
      <c r="C112">
        <v>5.6399999999999999E-2</v>
      </c>
      <c r="D112">
        <v>5.0000000000000001E-4</v>
      </c>
      <c r="E112">
        <v>11274163</v>
      </c>
      <c r="F112">
        <v>6405267</v>
      </c>
      <c r="G112" t="s">
        <v>725</v>
      </c>
      <c r="H112">
        <v>200000000</v>
      </c>
      <c r="I112">
        <f>Cleaned_Data[[#This Row],[Volume (24h) USD]]/Cleaned_Data[[#This Row],[Circulating_Supply($)]]</f>
        <v>3.2026335000000003E-2</v>
      </c>
      <c r="J112">
        <f>RANK(Cleaned_Data[[#This Row],[Market Cap]],Cleaned_Data[Market Cap],0)</f>
        <v>111</v>
      </c>
      <c r="K112" t="str">
        <f t="shared" si="3"/>
        <v>0-0.5</v>
      </c>
      <c r="L112">
        <f>Cleaned_Data[[#This Row],[1h Change (%)]]*24</f>
        <v>1.2E-2</v>
      </c>
      <c r="M112">
        <f>Cleaned_Data[[#This Row],[24h Change (%)]]*7</f>
        <v>8.4000000000000005E-2</v>
      </c>
      <c r="N112" t="str" cm="1">
        <f t="array" ref="N112">_xlfn.IFS(Cleaned_Data[[#This Row],[Price (USD)]]&lt;0.05,"0 - 0.05",Cleaned_Data[[#This Row],[Price (USD)]]&lt;0.5,"0.05 - 0.5",Cleaned_Data[[#This Row],[Price (USD)]]&lt;5,"0.5 - 5",Cleaned_Data[[#This Row],[Price (USD)]]&lt;50,"5 - 50",Cleaned_Data[[#This Row],[Price (USD)]]&gt;=50,"&gt; 50")</f>
        <v>0.05 - 0.5</v>
      </c>
      <c r="O112">
        <f>(Cleaned_Data[[#This Row],[1h Change (%)]]+Cleaned_Data[[#This Row],[24h Change (%)]]+Cleaned_Data[[#This Row],[7d Change (%)]])/3</f>
        <v>3.216666666666667E-2</v>
      </c>
      <c r="P112">
        <f>Cleaned_Data[[#This Row],[Price (USD)]]/(1+Cleaned_Data[[#This Row],[1h Change (%)]]/100)</f>
        <v>5.6399718001409992E-2</v>
      </c>
      <c r="Q112">
        <f>Cleaned_Data[[#This Row],[Price (USD)]]/(1-Cleaned_Data[[#This Row],[24h Change (%)]]/100)</f>
        <v>5.6406768812257473E-2</v>
      </c>
      <c r="R112">
        <f>Cleaned_Data[[#This Row],[Price (USD)]]/(1+Cleaned_Data[[#This Row],[7d Change (%)]]/100)</f>
        <v>5.6352663762439553E-2</v>
      </c>
      <c r="S112">
        <f>Cleaned_Data[[#This Row],[Price (USD)]]-Cleaned_Data[[#This Row],[1-Hour Before Price]]</f>
        <v>2.8199859000710426E-7</v>
      </c>
    </row>
    <row r="113" spans="1:19" x14ac:dyDescent="0.3">
      <c r="A113" t="s">
        <v>726</v>
      </c>
      <c r="B113" t="s">
        <v>727</v>
      </c>
      <c r="C113">
        <v>0.32490000000000002</v>
      </c>
      <c r="D113">
        <v>4.5999999999999999E-3</v>
      </c>
      <c r="E113">
        <v>11243721</v>
      </c>
      <c r="F113">
        <v>25910</v>
      </c>
      <c r="G113" t="s">
        <v>731</v>
      </c>
      <c r="H113">
        <v>34590000</v>
      </c>
      <c r="I113">
        <f>Cleaned_Data[[#This Row],[Volume (24h) USD]]/Cleaned_Data[[#This Row],[Circulating_Supply($)]]</f>
        <v>7.4906042208730842E-4</v>
      </c>
      <c r="J113">
        <f>RANK(Cleaned_Data[[#This Row],[Market Cap]],Cleaned_Data[Market Cap],0)</f>
        <v>112</v>
      </c>
      <c r="K113" t="str">
        <f t="shared" si="3"/>
        <v>0-0.5</v>
      </c>
      <c r="L113">
        <f>Cleaned_Data[[#This Row],[1h Change (%)]]*24</f>
        <v>0.1104</v>
      </c>
      <c r="M113">
        <f>Cleaned_Data[[#This Row],[24h Change (%)]]*7</f>
        <v>0.77279999999999993</v>
      </c>
      <c r="N113" t="str" cm="1">
        <f t="array" ref="N113">_xlfn.IFS(Cleaned_Data[[#This Row],[Price (USD)]]&lt;0.05,"0 - 0.05",Cleaned_Data[[#This Row],[Price (USD)]]&lt;0.5,"0.05 - 0.5",Cleaned_Data[[#This Row],[Price (USD)]]&lt;5,"0.5 - 5",Cleaned_Data[[#This Row],[Price (USD)]]&lt;50,"5 - 50",Cleaned_Data[[#This Row],[Price (USD)]]&gt;=50,"&gt; 50")</f>
        <v>0.05 - 0.5</v>
      </c>
      <c r="O113">
        <f>(Cleaned_Data[[#This Row],[1h Change (%)]]+Cleaned_Data[[#This Row],[24h Change (%)]]+Cleaned_Data[[#This Row],[7d Change (%)]])/3</f>
        <v>0.29593333333333333</v>
      </c>
      <c r="P113">
        <f>Cleaned_Data[[#This Row],[Price (USD)]]/(1+Cleaned_Data[[#This Row],[1h Change (%)]]/100)</f>
        <v>0.32488505528745681</v>
      </c>
      <c r="Q113">
        <f>Cleaned_Data[[#This Row],[Price (USD)]]/(1-Cleaned_Data[[#This Row],[24h Change (%)]]/100)</f>
        <v>0.3252590860309782</v>
      </c>
      <c r="R113">
        <f>Cleaned_Data[[#This Row],[Price (USD)]]/(1+Cleaned_Data[[#This Row],[7d Change (%)]]/100)</f>
        <v>0.32240842767095884</v>
      </c>
      <c r="S113">
        <f>Cleaned_Data[[#This Row],[Price (USD)]]-Cleaned_Data[[#This Row],[1-Hour Before Price]]</f>
        <v>1.4944712543207839E-5</v>
      </c>
    </row>
    <row r="114" spans="1:19" x14ac:dyDescent="0.3">
      <c r="A114" t="s">
        <v>732</v>
      </c>
      <c r="B114" t="s">
        <v>733</v>
      </c>
      <c r="C114">
        <v>0.18329999999999999</v>
      </c>
      <c r="D114">
        <v>2.5999999999999999E-2</v>
      </c>
      <c r="E114">
        <v>11181505</v>
      </c>
      <c r="F114">
        <v>95241</v>
      </c>
      <c r="G114" t="s">
        <v>738</v>
      </c>
      <c r="H114">
        <v>60970000</v>
      </c>
      <c r="I114">
        <f>Cleaned_Data[[#This Row],[Volume (24h) USD]]/Cleaned_Data[[#This Row],[Circulating_Supply($)]]</f>
        <v>1.5620961128423815E-3</v>
      </c>
      <c r="J114">
        <f>RANK(Cleaned_Data[[#This Row],[Market Cap]],Cleaned_Data[Market Cap],0)</f>
        <v>114</v>
      </c>
      <c r="K114" t="str">
        <f t="shared" si="3"/>
        <v>0-0.5</v>
      </c>
      <c r="L114">
        <f>Cleaned_Data[[#This Row],[1h Change (%)]]*24</f>
        <v>0.624</v>
      </c>
      <c r="M114">
        <f>Cleaned_Data[[#This Row],[24h Change (%)]]*7</f>
        <v>4.3680000000000003</v>
      </c>
      <c r="N114" t="str" cm="1">
        <f t="array" ref="N114">_xlfn.IFS(Cleaned_Data[[#This Row],[Price (USD)]]&lt;0.05,"0 - 0.05",Cleaned_Data[[#This Row],[Price (USD)]]&lt;0.5,"0.05 - 0.5",Cleaned_Data[[#This Row],[Price (USD)]]&lt;5,"0.5 - 5",Cleaned_Data[[#This Row],[Price (USD)]]&lt;50,"5 - 50",Cleaned_Data[[#This Row],[Price (USD)]]&gt;=50,"&gt; 50")</f>
        <v>0.05 - 0.5</v>
      </c>
      <c r="O114">
        <f>(Cleaned_Data[[#This Row],[1h Change (%)]]+Cleaned_Data[[#This Row],[24h Change (%)]]+Cleaned_Data[[#This Row],[7d Change (%)]])/3</f>
        <v>1.672666666666667</v>
      </c>
      <c r="P114">
        <f>Cleaned_Data[[#This Row],[Price (USD)]]/(1+Cleaned_Data[[#This Row],[1h Change (%)]]/100)</f>
        <v>0.18325235438785917</v>
      </c>
      <c r="Q114">
        <f>Cleaned_Data[[#This Row],[Price (USD)]]/(1-Cleaned_Data[[#This Row],[24h Change (%)]]/100)</f>
        <v>0.18445097407824826</v>
      </c>
      <c r="R114">
        <f>Cleaned_Data[[#This Row],[Price (USD)]]/(1+Cleaned_Data[[#This Row],[7d Change (%)]]/100)</f>
        <v>0.17562854514793808</v>
      </c>
      <c r="S114">
        <f>Cleaned_Data[[#This Row],[Price (USD)]]-Cleaned_Data[[#This Row],[1-Hour Before Price]]</f>
        <v>4.7645612140823079E-5</v>
      </c>
    </row>
    <row r="115" spans="1:19" x14ac:dyDescent="0.3">
      <c r="A115" t="s">
        <v>739</v>
      </c>
      <c r="B115" t="s">
        <v>739</v>
      </c>
      <c r="C115">
        <v>1.24E-2</v>
      </c>
      <c r="D115">
        <v>1.6400000000000001E-2</v>
      </c>
      <c r="E115">
        <v>11184297</v>
      </c>
      <c r="F115">
        <v>1157910</v>
      </c>
      <c r="G115" t="s">
        <v>744</v>
      </c>
      <c r="H115">
        <v>899840000</v>
      </c>
      <c r="I115">
        <f>Cleaned_Data[[#This Row],[Volume (24h) USD]]/Cleaned_Data[[#This Row],[Circulating_Supply($)]]</f>
        <v>1.2867954302987197E-3</v>
      </c>
      <c r="J115">
        <f>RANK(Cleaned_Data[[#This Row],[Market Cap]],Cleaned_Data[Market Cap],0)</f>
        <v>113</v>
      </c>
      <c r="K115" t="str">
        <f t="shared" si="3"/>
        <v>0-0.5</v>
      </c>
      <c r="L115">
        <f>Cleaned_Data[[#This Row],[1h Change (%)]]*24</f>
        <v>0.39360000000000006</v>
      </c>
      <c r="M115">
        <f>Cleaned_Data[[#This Row],[24h Change (%)]]*7</f>
        <v>2.7552000000000003</v>
      </c>
      <c r="N115" t="str" cm="1">
        <f t="array" ref="N115">_xlfn.IFS(Cleaned_Data[[#This Row],[Price (USD)]]&lt;0.05,"0 - 0.05",Cleaned_Data[[#This Row],[Price (USD)]]&lt;0.5,"0.05 - 0.5",Cleaned_Data[[#This Row],[Price (USD)]]&lt;5,"0.5 - 5",Cleaned_Data[[#This Row],[Price (USD)]]&lt;50,"5 - 50",Cleaned_Data[[#This Row],[Price (USD)]]&gt;=50,"&gt; 50")</f>
        <v>0 - 0.05</v>
      </c>
      <c r="O115">
        <f>(Cleaned_Data[[#This Row],[1h Change (%)]]+Cleaned_Data[[#This Row],[24h Change (%)]]+Cleaned_Data[[#This Row],[7d Change (%)]])/3</f>
        <v>1.0550666666666668</v>
      </c>
      <c r="P115">
        <f>Cleaned_Data[[#This Row],[Price (USD)]]/(1+Cleaned_Data[[#This Row],[1h Change (%)]]/100)</f>
        <v>1.2397966733455713E-2</v>
      </c>
      <c r="Q115">
        <f>Cleaned_Data[[#This Row],[Price (USD)]]/(1-Cleaned_Data[[#This Row],[24h Change (%)]]/100)</f>
        <v>1.2448999261091657E-2</v>
      </c>
      <c r="R115">
        <f>Cleaned_Data[[#This Row],[Price (USD)]]/(1+Cleaned_Data[[#This Row],[7d Change (%)]]/100)</f>
        <v>1.2067515804552956E-2</v>
      </c>
      <c r="S115">
        <f>Cleaned_Data[[#This Row],[Price (USD)]]-Cleaned_Data[[#This Row],[1-Hour Before Price]]</f>
        <v>2.0332665442868852E-6</v>
      </c>
    </row>
    <row r="116" spans="1:19" x14ac:dyDescent="0.3">
      <c r="A116" t="s">
        <v>745</v>
      </c>
      <c r="B116" t="s">
        <v>746</v>
      </c>
      <c r="C116">
        <v>4.1999999999999997E-3</v>
      </c>
      <c r="D116">
        <v>8.6999999999999994E-3</v>
      </c>
      <c r="E116">
        <v>11144288</v>
      </c>
      <c r="F116">
        <v>19472</v>
      </c>
      <c r="G116" t="s">
        <v>751</v>
      </c>
      <c r="H116">
        <v>2620000000</v>
      </c>
      <c r="I116">
        <f>Cleaned_Data[[#This Row],[Volume (24h) USD]]/Cleaned_Data[[#This Row],[Circulating_Supply($)]]</f>
        <v>7.4320610687022905E-6</v>
      </c>
      <c r="J116">
        <f>RANK(Cleaned_Data[[#This Row],[Market Cap]],Cleaned_Data[Market Cap],0)</f>
        <v>116</v>
      </c>
      <c r="K116" t="str">
        <f t="shared" si="3"/>
        <v>0-0.5</v>
      </c>
      <c r="L116">
        <f>Cleaned_Data[[#This Row],[1h Change (%)]]*24</f>
        <v>0.20879999999999999</v>
      </c>
      <c r="M116">
        <f>Cleaned_Data[[#This Row],[24h Change (%)]]*7</f>
        <v>1.4615999999999998</v>
      </c>
      <c r="N116" t="str" cm="1">
        <f t="array" ref="N116">_xlfn.IFS(Cleaned_Data[[#This Row],[Price (USD)]]&lt;0.05,"0 - 0.05",Cleaned_Data[[#This Row],[Price (USD)]]&lt;0.5,"0.05 - 0.5",Cleaned_Data[[#This Row],[Price (USD)]]&lt;5,"0.5 - 5",Cleaned_Data[[#This Row],[Price (USD)]]&lt;50,"5 - 50",Cleaned_Data[[#This Row],[Price (USD)]]&gt;=50,"&gt; 50")</f>
        <v>0 - 0.05</v>
      </c>
      <c r="O116">
        <f>(Cleaned_Data[[#This Row],[1h Change (%)]]+Cleaned_Data[[#This Row],[24h Change (%)]]+Cleaned_Data[[#This Row],[7d Change (%)]])/3</f>
        <v>0.55969999999999998</v>
      </c>
      <c r="P116">
        <f>Cleaned_Data[[#This Row],[Price (USD)]]/(1+Cleaned_Data[[#This Row],[1h Change (%)]]/100)</f>
        <v>4.1996346317870348E-3</v>
      </c>
      <c r="Q116">
        <f>Cleaned_Data[[#This Row],[Price (USD)]]/(1-Cleaned_Data[[#This Row],[24h Change (%)]]/100)</f>
        <v>4.2087879492380088E-3</v>
      </c>
      <c r="R116">
        <f>Cleaned_Data[[#This Row],[Price (USD)]]/(1+Cleaned_Data[[#This Row],[7d Change (%)]]/100)</f>
        <v>4.1394971102367787E-3</v>
      </c>
      <c r="S116">
        <f>Cleaned_Data[[#This Row],[Price (USD)]]-Cleaned_Data[[#This Row],[1-Hour Before Price]]</f>
        <v>3.6536821296489358E-7</v>
      </c>
    </row>
    <row r="117" spans="1:19" x14ac:dyDescent="0.3">
      <c r="A117" t="s">
        <v>752</v>
      </c>
      <c r="B117" t="s">
        <v>753</v>
      </c>
      <c r="C117">
        <v>7.4499999999999997E-2</v>
      </c>
      <c r="D117">
        <v>5.1000000000000004E-3</v>
      </c>
      <c r="E117">
        <v>11155057</v>
      </c>
      <c r="F117">
        <v>233918</v>
      </c>
      <c r="G117" t="s">
        <v>758</v>
      </c>
      <c r="H117">
        <v>247730000000000</v>
      </c>
      <c r="I117">
        <f>Cleaned_Data[[#This Row],[Volume (24h) USD]]/Cleaned_Data[[#This Row],[Circulating_Supply($)]]</f>
        <v>9.4424575142292003E-10</v>
      </c>
      <c r="J117">
        <f>RANK(Cleaned_Data[[#This Row],[Market Cap]],Cleaned_Data[Market Cap],0)</f>
        <v>115</v>
      </c>
      <c r="K117" t="str">
        <f t="shared" si="3"/>
        <v>0-0.5</v>
      </c>
      <c r="L117">
        <f>Cleaned_Data[[#This Row],[1h Change (%)]]*24</f>
        <v>0.12240000000000001</v>
      </c>
      <c r="M117">
        <f>Cleaned_Data[[#This Row],[24h Change (%)]]*7</f>
        <v>0.85680000000000001</v>
      </c>
      <c r="N117" t="str" cm="1">
        <f t="array" ref="N117">_xlfn.IFS(Cleaned_Data[[#This Row],[Price (USD)]]&lt;0.05,"0 - 0.05",Cleaned_Data[[#This Row],[Price (USD)]]&lt;0.5,"0.05 - 0.5",Cleaned_Data[[#This Row],[Price (USD)]]&lt;5,"0.5 - 5",Cleaned_Data[[#This Row],[Price (USD)]]&lt;50,"5 - 50",Cleaned_Data[[#This Row],[Price (USD)]]&gt;=50,"&gt; 50")</f>
        <v>0.05 - 0.5</v>
      </c>
      <c r="O117">
        <f>(Cleaned_Data[[#This Row],[1h Change (%)]]+Cleaned_Data[[#This Row],[24h Change (%)]]+Cleaned_Data[[#This Row],[7d Change (%)]])/3</f>
        <v>0.3281</v>
      </c>
      <c r="P117">
        <f>Cleaned_Data[[#This Row],[Price (USD)]]/(1+Cleaned_Data[[#This Row],[1h Change (%)]]/100)</f>
        <v>7.4496200693764614E-2</v>
      </c>
      <c r="Q117">
        <f>Cleaned_Data[[#This Row],[Price (USD)]]/(1-Cleaned_Data[[#This Row],[24h Change (%)]]/100)</f>
        <v>7.4591299750895096E-2</v>
      </c>
      <c r="R117">
        <f>Cleaned_Data[[#This Row],[Price (USD)]]/(1+Cleaned_Data[[#This Row],[7d Change (%)]]/100)</f>
        <v>7.3867106630390811E-2</v>
      </c>
      <c r="S117">
        <f>Cleaned_Data[[#This Row],[Price (USD)]]-Cleaned_Data[[#This Row],[1-Hour Before Price]]</f>
        <v>3.7993062353830487E-6</v>
      </c>
    </row>
    <row r="118" spans="1:19" x14ac:dyDescent="0.3">
      <c r="A118" t="s">
        <v>759</v>
      </c>
      <c r="B118" t="s">
        <v>760</v>
      </c>
      <c r="C118">
        <v>0.21590000000000001</v>
      </c>
      <c r="D118">
        <v>3.8E-3</v>
      </c>
      <c r="E118">
        <v>11101030</v>
      </c>
      <c r="F118">
        <v>105278</v>
      </c>
      <c r="G118" t="s">
        <v>764</v>
      </c>
      <c r="H118">
        <v>51390000</v>
      </c>
      <c r="I118">
        <f>Cleaned_Data[[#This Row],[Volume (24h) USD]]/Cleaned_Data[[#This Row],[Circulating_Supply($)]]</f>
        <v>2.0486086787312708E-3</v>
      </c>
      <c r="J118">
        <f>RANK(Cleaned_Data[[#This Row],[Market Cap]],Cleaned_Data[Market Cap],0)</f>
        <v>117</v>
      </c>
      <c r="K118" t="str">
        <f t="shared" si="3"/>
        <v>0-0.5</v>
      </c>
      <c r="L118">
        <f>Cleaned_Data[[#This Row],[1h Change (%)]]*24</f>
        <v>9.1200000000000003E-2</v>
      </c>
      <c r="M118">
        <f>Cleaned_Data[[#This Row],[24h Change (%)]]*7</f>
        <v>0.63840000000000008</v>
      </c>
      <c r="N118" t="str" cm="1">
        <f t="array" ref="N118">_xlfn.IFS(Cleaned_Data[[#This Row],[Price (USD)]]&lt;0.05,"0 - 0.05",Cleaned_Data[[#This Row],[Price (USD)]]&lt;0.5,"0.05 - 0.5",Cleaned_Data[[#This Row],[Price (USD)]]&lt;5,"0.5 - 5",Cleaned_Data[[#This Row],[Price (USD)]]&lt;50,"5 - 50",Cleaned_Data[[#This Row],[Price (USD)]]&gt;=50,"&gt; 50")</f>
        <v>0.05 - 0.5</v>
      </c>
      <c r="O118">
        <f>(Cleaned_Data[[#This Row],[1h Change (%)]]+Cleaned_Data[[#This Row],[24h Change (%)]]+Cleaned_Data[[#This Row],[7d Change (%)]])/3</f>
        <v>0.24446666666666669</v>
      </c>
      <c r="P118">
        <f>Cleaned_Data[[#This Row],[Price (USD)]]/(1+Cleaned_Data[[#This Row],[1h Change (%)]]/100)</f>
        <v>0.21589179611174777</v>
      </c>
      <c r="Q118">
        <f>Cleaned_Data[[#This Row],[Price (USD)]]/(1-Cleaned_Data[[#This Row],[24h Change (%)]]/100)</f>
        <v>0.21609708053745016</v>
      </c>
      <c r="R118">
        <f>Cleaned_Data[[#This Row],[Price (USD)]]/(1+Cleaned_Data[[#This Row],[7d Change (%)]]/100)</f>
        <v>0.21453043768581379</v>
      </c>
      <c r="S118">
        <f>Cleaned_Data[[#This Row],[Price (USD)]]-Cleaned_Data[[#This Row],[1-Hour Before Price]]</f>
        <v>8.2038882522339485E-6</v>
      </c>
    </row>
    <row r="119" spans="1:19" x14ac:dyDescent="0.3">
      <c r="A119" t="s">
        <v>765</v>
      </c>
      <c r="B119" t="s">
        <v>766</v>
      </c>
      <c r="C119">
        <v>5.0000000000000001E-4</v>
      </c>
      <c r="D119">
        <v>9.1999999999999998E-3</v>
      </c>
      <c r="E119">
        <v>11082865</v>
      </c>
      <c r="F119">
        <v>8599503</v>
      </c>
      <c r="G119" t="s">
        <v>770</v>
      </c>
      <c r="H119">
        <v>22790000000</v>
      </c>
      <c r="I119">
        <f>Cleaned_Data[[#This Row],[Volume (24h) USD]]/Cleaned_Data[[#This Row],[Circulating_Supply($)]]</f>
        <v>3.7733668275559455E-4</v>
      </c>
      <c r="J119">
        <f>RANK(Cleaned_Data[[#This Row],[Market Cap]],Cleaned_Data[Market Cap],0)</f>
        <v>118</v>
      </c>
      <c r="K119" t="str">
        <f t="shared" si="3"/>
        <v>0-0.5</v>
      </c>
      <c r="L119">
        <f>Cleaned_Data[[#This Row],[1h Change (%)]]*24</f>
        <v>0.2208</v>
      </c>
      <c r="M119">
        <f>Cleaned_Data[[#This Row],[24h Change (%)]]*7</f>
        <v>1.5455999999999999</v>
      </c>
      <c r="N119" t="str" cm="1">
        <f t="array" ref="N119">_xlfn.IFS(Cleaned_Data[[#This Row],[Price (USD)]]&lt;0.05,"0 - 0.05",Cleaned_Data[[#This Row],[Price (USD)]]&lt;0.5,"0.05 - 0.5",Cleaned_Data[[#This Row],[Price (USD)]]&lt;5,"0.5 - 5",Cleaned_Data[[#This Row],[Price (USD)]]&lt;50,"5 - 50",Cleaned_Data[[#This Row],[Price (USD)]]&gt;=50,"&gt; 50")</f>
        <v>0 - 0.05</v>
      </c>
      <c r="O119">
        <f>(Cleaned_Data[[#This Row],[1h Change (%)]]+Cleaned_Data[[#This Row],[24h Change (%)]]+Cleaned_Data[[#This Row],[7d Change (%)]])/3</f>
        <v>0.59186666666666665</v>
      </c>
      <c r="P119">
        <f>Cleaned_Data[[#This Row],[Price (USD)]]/(1+Cleaned_Data[[#This Row],[1h Change (%)]]/100)</f>
        <v>4.9995400423161066E-4</v>
      </c>
      <c r="Q119">
        <f>Cleaned_Data[[#This Row],[Price (USD)]]/(1-Cleaned_Data[[#This Row],[24h Change (%)]]/100)</f>
        <v>5.0110644302620185E-4</v>
      </c>
      <c r="R119">
        <f>Cleaned_Data[[#This Row],[Price (USD)]]/(1+Cleaned_Data[[#This Row],[7d Change (%)]]/100)</f>
        <v>4.9238962594144904E-4</v>
      </c>
      <c r="S119">
        <f>Cleaned_Data[[#This Row],[Price (USD)]]-Cleaned_Data[[#This Row],[1-Hour Before Price]]</f>
        <v>4.599576838935221E-8</v>
      </c>
    </row>
    <row r="120" spans="1:19" x14ac:dyDescent="0.3">
      <c r="A120" t="s">
        <v>771</v>
      </c>
      <c r="B120" t="s">
        <v>772</v>
      </c>
      <c r="C120">
        <v>0.99929999999999997</v>
      </c>
      <c r="D120">
        <v>5.0000000000000001E-4</v>
      </c>
      <c r="E120">
        <v>8799631</v>
      </c>
      <c r="F120">
        <v>50214459</v>
      </c>
      <c r="G120" t="s">
        <v>776</v>
      </c>
      <c r="H120">
        <v>8800000</v>
      </c>
      <c r="I120">
        <f>Cleaned_Data[[#This Row],[Volume (24h) USD]]/Cleaned_Data[[#This Row],[Circulating_Supply($)]]</f>
        <v>5.7061885227272731</v>
      </c>
      <c r="J120">
        <f>RANK(Cleaned_Data[[#This Row],[Market Cap]],Cleaned_Data[Market Cap],0)</f>
        <v>119</v>
      </c>
      <c r="K120" t="str">
        <f t="shared" si="3"/>
        <v>0.5-1</v>
      </c>
      <c r="L120">
        <f>Cleaned_Data[[#This Row],[1h Change (%)]]*24</f>
        <v>1.2E-2</v>
      </c>
      <c r="M120">
        <f>Cleaned_Data[[#This Row],[24h Change (%)]]*7</f>
        <v>8.4000000000000005E-2</v>
      </c>
      <c r="N120" t="str" cm="1">
        <f t="array" ref="N120">_xlfn.IFS(Cleaned_Data[[#This Row],[Price (USD)]]&lt;0.05,"0 - 0.05",Cleaned_Data[[#This Row],[Price (USD)]]&lt;0.5,"0.05 - 0.5",Cleaned_Data[[#This Row],[Price (USD)]]&lt;5,"0.5 - 5",Cleaned_Data[[#This Row],[Price (USD)]]&lt;50,"5 - 50",Cleaned_Data[[#This Row],[Price (USD)]]&gt;=50,"&gt; 50")</f>
        <v>0.5 - 5</v>
      </c>
      <c r="O120">
        <f>(Cleaned_Data[[#This Row],[1h Change (%)]]+Cleaned_Data[[#This Row],[24h Change (%)]]+Cleaned_Data[[#This Row],[7d Change (%)]])/3</f>
        <v>3.216666666666667E-2</v>
      </c>
      <c r="P120">
        <f>Cleaned_Data[[#This Row],[Price (USD)]]/(1+Cleaned_Data[[#This Row],[1h Change (%)]]/100)</f>
        <v>0.99929500352498235</v>
      </c>
      <c r="Q120">
        <f>Cleaned_Data[[#This Row],[Price (USD)]]/(1-Cleaned_Data[[#This Row],[24h Change (%)]]/100)</f>
        <v>0.999419930391647</v>
      </c>
      <c r="R120">
        <f>Cleaned_Data[[#This Row],[Price (USD)]]/(1+Cleaned_Data[[#This Row],[7d Change (%)]]/100)</f>
        <v>0.99846129251428806</v>
      </c>
      <c r="S120">
        <f>Cleaned_Data[[#This Row],[Price (USD)]]-Cleaned_Data[[#This Row],[1-Hour Before Price]]</f>
        <v>4.9964750176156869E-6</v>
      </c>
    </row>
    <row r="121" spans="1:19" x14ac:dyDescent="0.3">
      <c r="A121" t="s">
        <v>777</v>
      </c>
      <c r="B121" t="s">
        <v>778</v>
      </c>
      <c r="C121">
        <v>3.38</v>
      </c>
      <c r="D121">
        <v>8.9999999999999998E-4</v>
      </c>
      <c r="E121">
        <v>8770979</v>
      </c>
      <c r="F121">
        <v>10</v>
      </c>
      <c r="G121" t="s">
        <v>782</v>
      </c>
      <c r="H121">
        <v>2590000</v>
      </c>
      <c r="I121">
        <f>Cleaned_Data[[#This Row],[Volume (24h) USD]]/Cleaned_Data[[#This Row],[Circulating_Supply($)]]</f>
        <v>3.8610038610038611E-6</v>
      </c>
      <c r="J121">
        <f>RANK(Cleaned_Data[[#This Row],[Market Cap]],Cleaned_Data[Market Cap],0)</f>
        <v>120</v>
      </c>
      <c r="K121" t="str">
        <f t="shared" si="3"/>
        <v>2-10</v>
      </c>
      <c r="L121">
        <f>Cleaned_Data[[#This Row],[1h Change (%)]]*24</f>
        <v>2.1600000000000001E-2</v>
      </c>
      <c r="M121">
        <f>Cleaned_Data[[#This Row],[24h Change (%)]]*7</f>
        <v>0.1512</v>
      </c>
      <c r="N121" t="str" cm="1">
        <f t="array" ref="N121">_xlfn.IFS(Cleaned_Data[[#This Row],[Price (USD)]]&lt;0.05,"0 - 0.05",Cleaned_Data[[#This Row],[Price (USD)]]&lt;0.5,"0.05 - 0.5",Cleaned_Data[[#This Row],[Price (USD)]]&lt;5,"0.5 - 5",Cleaned_Data[[#This Row],[Price (USD)]]&lt;50,"5 - 50",Cleaned_Data[[#This Row],[Price (USD)]]&gt;=50,"&gt; 50")</f>
        <v>0.5 - 5</v>
      </c>
      <c r="O121">
        <f>(Cleaned_Data[[#This Row],[1h Change (%)]]+Cleaned_Data[[#This Row],[24h Change (%)]]+Cleaned_Data[[#This Row],[7d Change (%)]])/3</f>
        <v>5.79E-2</v>
      </c>
      <c r="P121">
        <f>Cleaned_Data[[#This Row],[Price (USD)]]/(1+Cleaned_Data[[#This Row],[1h Change (%)]]/100)</f>
        <v>3.3799695802737775</v>
      </c>
      <c r="Q121">
        <f>Cleaned_Data[[#This Row],[Price (USD)]]/(1-Cleaned_Data[[#This Row],[24h Change (%)]]/100)</f>
        <v>3.38073023773135</v>
      </c>
      <c r="R121">
        <f>Cleaned_Data[[#This Row],[Price (USD)]]/(1+Cleaned_Data[[#This Row],[7d Change (%)]]/100)</f>
        <v>3.3748971555008827</v>
      </c>
      <c r="S121">
        <f>Cleaned_Data[[#This Row],[Price (USD)]]-Cleaned_Data[[#This Row],[1-Hour Before Price]]</f>
        <v>3.0419726222419285E-5</v>
      </c>
    </row>
    <row r="122" spans="1:19" x14ac:dyDescent="0.3">
      <c r="A122" t="s">
        <v>783</v>
      </c>
      <c r="B122" t="s">
        <v>784</v>
      </c>
      <c r="C122">
        <v>0.89400000000000002</v>
      </c>
      <c r="D122">
        <v>3.7000000000000002E-3</v>
      </c>
      <c r="E122">
        <v>8762689</v>
      </c>
      <c r="F122">
        <v>1784357</v>
      </c>
      <c r="G122" t="s">
        <v>788</v>
      </c>
      <c r="H122">
        <v>9800000</v>
      </c>
      <c r="I122">
        <f>Cleaned_Data[[#This Row],[Volume (24h) USD]]/Cleaned_Data[[#This Row],[Circulating_Supply($)]]</f>
        <v>0.18207724489795918</v>
      </c>
      <c r="J122">
        <f>RANK(Cleaned_Data[[#This Row],[Market Cap]],Cleaned_Data[Market Cap],0)</f>
        <v>121</v>
      </c>
      <c r="K122" t="str">
        <f t="shared" si="3"/>
        <v>0.5-1</v>
      </c>
      <c r="L122">
        <f>Cleaned_Data[[#This Row],[1h Change (%)]]*24</f>
        <v>8.8800000000000004E-2</v>
      </c>
      <c r="M122">
        <f>Cleaned_Data[[#This Row],[24h Change (%)]]*7</f>
        <v>0.62160000000000004</v>
      </c>
      <c r="N122" t="str" cm="1">
        <f t="array" ref="N122">_xlfn.IFS(Cleaned_Data[[#This Row],[Price (USD)]]&lt;0.05,"0 - 0.05",Cleaned_Data[[#This Row],[Price (USD)]]&lt;0.5,"0.05 - 0.5",Cleaned_Data[[#This Row],[Price (USD)]]&lt;5,"0.5 - 5",Cleaned_Data[[#This Row],[Price (USD)]]&lt;50,"5 - 50",Cleaned_Data[[#This Row],[Price (USD)]]&gt;=50,"&gt; 50")</f>
        <v>0.5 - 5</v>
      </c>
      <c r="O122">
        <f>(Cleaned_Data[[#This Row],[1h Change (%)]]+Cleaned_Data[[#This Row],[24h Change (%)]]+Cleaned_Data[[#This Row],[7d Change (%)]])/3</f>
        <v>0.23803333333333335</v>
      </c>
      <c r="P122">
        <f>Cleaned_Data[[#This Row],[Price (USD)]]/(1+Cleaned_Data[[#This Row],[1h Change (%)]]/100)</f>
        <v>0.89396692322384064</v>
      </c>
      <c r="Q122">
        <f>Cleaned_Data[[#This Row],[Price (USD)]]/(1-Cleaned_Data[[#This Row],[24h Change (%)]]/100)</f>
        <v>0.89479457758489545</v>
      </c>
      <c r="R122">
        <f>Cleaned_Data[[#This Row],[Price (USD)]]/(1+Cleaned_Data[[#This Row],[7d Change (%)]]/100)</f>
        <v>0.88847722556588249</v>
      </c>
      <c r="S122">
        <f>Cleaned_Data[[#This Row],[Price (USD)]]-Cleaned_Data[[#This Row],[1-Hour Before Price]]</f>
        <v>3.3076776159379762E-5</v>
      </c>
    </row>
    <row r="123" spans="1:19" x14ac:dyDescent="0.3">
      <c r="A123" t="s">
        <v>789</v>
      </c>
      <c r="B123" t="s">
        <v>790</v>
      </c>
      <c r="C123">
        <v>8.8000000000000005E-3</v>
      </c>
      <c r="D123">
        <v>1.1299999999999999E-2</v>
      </c>
      <c r="E123">
        <v>8757334</v>
      </c>
      <c r="F123">
        <v>1018996</v>
      </c>
      <c r="G123" t="s">
        <v>795</v>
      </c>
      <c r="H123">
        <v>990280000</v>
      </c>
      <c r="I123">
        <f>Cleaned_Data[[#This Row],[Volume (24h) USD]]/Cleaned_Data[[#This Row],[Circulating_Supply($)]]</f>
        <v>1.0289978591913398E-3</v>
      </c>
      <c r="J123">
        <f>RANK(Cleaned_Data[[#This Row],[Market Cap]],Cleaned_Data[Market Cap],0)</f>
        <v>122</v>
      </c>
      <c r="K123" t="str">
        <f t="shared" si="3"/>
        <v>0-0.5</v>
      </c>
      <c r="L123">
        <f>Cleaned_Data[[#This Row],[1h Change (%)]]*24</f>
        <v>0.2712</v>
      </c>
      <c r="M123">
        <f>Cleaned_Data[[#This Row],[24h Change (%)]]*7</f>
        <v>1.8984000000000001</v>
      </c>
      <c r="N123" t="str" cm="1">
        <f t="array" ref="N123">_xlfn.IFS(Cleaned_Data[[#This Row],[Price (USD)]]&lt;0.05,"0 - 0.05",Cleaned_Data[[#This Row],[Price (USD)]]&lt;0.5,"0.05 - 0.5",Cleaned_Data[[#This Row],[Price (USD)]]&lt;5,"0.5 - 5",Cleaned_Data[[#This Row],[Price (USD)]]&lt;50,"5 - 50",Cleaned_Data[[#This Row],[Price (USD)]]&gt;=50,"&gt; 50")</f>
        <v>0 - 0.05</v>
      </c>
      <c r="O123">
        <f>(Cleaned_Data[[#This Row],[1h Change (%)]]+Cleaned_Data[[#This Row],[24h Change (%)]]+Cleaned_Data[[#This Row],[7d Change (%)]])/3</f>
        <v>0.72696666666666676</v>
      </c>
      <c r="P123">
        <f>Cleaned_Data[[#This Row],[Price (USD)]]/(1+Cleaned_Data[[#This Row],[1h Change (%)]]/100)</f>
        <v>8.7990057123545039E-3</v>
      </c>
      <c r="Q123">
        <f>Cleaned_Data[[#This Row],[Price (USD)]]/(1-Cleaned_Data[[#This Row],[24h Change (%)]]/100)</f>
        <v>8.8239304995146855E-3</v>
      </c>
      <c r="R123">
        <f>Cleaned_Data[[#This Row],[Price (USD)]]/(1+Cleaned_Data[[#This Row],[7d Change (%)]]/100)</f>
        <v>8.6360531666836767E-3</v>
      </c>
      <c r="S123">
        <f>Cleaned_Data[[#This Row],[Price (USD)]]-Cleaned_Data[[#This Row],[1-Hour Before Price]]</f>
        <v>9.9428764549665261E-7</v>
      </c>
    </row>
    <row r="124" spans="1:19" x14ac:dyDescent="0.3">
      <c r="A124" t="s">
        <v>796</v>
      </c>
      <c r="B124" t="s">
        <v>797</v>
      </c>
      <c r="C124">
        <v>3.6299999999999999E-2</v>
      </c>
      <c r="D124">
        <v>1.4E-3</v>
      </c>
      <c r="E124">
        <v>8738652</v>
      </c>
      <c r="F124">
        <v>849245</v>
      </c>
      <c r="G124" t="s">
        <v>801</v>
      </c>
      <c r="H124">
        <v>240600000</v>
      </c>
      <c r="I124">
        <f>Cleaned_Data[[#This Row],[Volume (24h) USD]]/Cleaned_Data[[#This Row],[Circulating_Supply($)]]</f>
        <v>3.529696591853699E-3</v>
      </c>
      <c r="J124">
        <f>RANK(Cleaned_Data[[#This Row],[Market Cap]],Cleaned_Data[Market Cap],0)</f>
        <v>123</v>
      </c>
      <c r="K124" t="str">
        <f t="shared" si="3"/>
        <v>0-0.5</v>
      </c>
      <c r="L124">
        <f>Cleaned_Data[[#This Row],[1h Change (%)]]*24</f>
        <v>3.3599999999999998E-2</v>
      </c>
      <c r="M124">
        <f>Cleaned_Data[[#This Row],[24h Change (%)]]*7</f>
        <v>0.23519999999999999</v>
      </c>
      <c r="N124" t="str" cm="1">
        <f t="array" ref="N124">_xlfn.IFS(Cleaned_Data[[#This Row],[Price (USD)]]&lt;0.05,"0 - 0.05",Cleaned_Data[[#This Row],[Price (USD)]]&lt;0.5,"0.05 - 0.5",Cleaned_Data[[#This Row],[Price (USD)]]&lt;5,"0.5 - 5",Cleaned_Data[[#This Row],[Price (USD)]]&lt;50,"5 - 50",Cleaned_Data[[#This Row],[Price (USD)]]&gt;=50,"&gt; 50")</f>
        <v>0 - 0.05</v>
      </c>
      <c r="O124">
        <f>(Cleaned_Data[[#This Row],[1h Change (%)]]+Cleaned_Data[[#This Row],[24h Change (%)]]+Cleaned_Data[[#This Row],[7d Change (%)]])/3</f>
        <v>9.006666666666667E-2</v>
      </c>
      <c r="P124">
        <f>Cleaned_Data[[#This Row],[Price (USD)]]/(1+Cleaned_Data[[#This Row],[1h Change (%)]]/100)</f>
        <v>3.6299491807114698E-2</v>
      </c>
      <c r="Q124">
        <f>Cleaned_Data[[#This Row],[Price (USD)]]/(1-Cleaned_Data[[#This Row],[24h Change (%)]]/100)</f>
        <v>3.6312200899502232E-2</v>
      </c>
      <c r="R124">
        <f>Cleaned_Data[[#This Row],[Price (USD)]]/(1+Cleaned_Data[[#This Row],[7d Change (%)]]/100)</f>
        <v>3.621482273692276E-2</v>
      </c>
      <c r="S124">
        <f>Cleaned_Data[[#This Row],[Price (USD)]]-Cleaned_Data[[#This Row],[1-Hour Before Price]]</f>
        <v>5.0819288530123963E-7</v>
      </c>
    </row>
    <row r="125" spans="1:19" x14ac:dyDescent="0.3">
      <c r="A125" t="s">
        <v>802</v>
      </c>
      <c r="B125" t="s">
        <v>803</v>
      </c>
      <c r="C125">
        <v>4.5600000000000002E-2</v>
      </c>
      <c r="D125">
        <v>2.3999999999999998E-3</v>
      </c>
      <c r="E125">
        <v>8732769</v>
      </c>
      <c r="F125">
        <v>31161</v>
      </c>
      <c r="G125" t="s">
        <v>807</v>
      </c>
      <c r="H125">
        <v>191310000</v>
      </c>
      <c r="I125">
        <f>Cleaned_Data[[#This Row],[Volume (24h) USD]]/Cleaned_Data[[#This Row],[Circulating_Supply($)]]</f>
        <v>1.6288223302493335E-4</v>
      </c>
      <c r="J125">
        <f>RANK(Cleaned_Data[[#This Row],[Market Cap]],Cleaned_Data[Market Cap],0)</f>
        <v>124</v>
      </c>
      <c r="K125" t="str">
        <f t="shared" si="3"/>
        <v>0-0.5</v>
      </c>
      <c r="L125">
        <f>Cleaned_Data[[#This Row],[1h Change (%)]]*24</f>
        <v>5.7599999999999998E-2</v>
      </c>
      <c r="M125">
        <f>Cleaned_Data[[#This Row],[24h Change (%)]]*7</f>
        <v>0.4032</v>
      </c>
      <c r="N125" t="str" cm="1">
        <f t="array" ref="N125">_xlfn.IFS(Cleaned_Data[[#This Row],[Price (USD)]]&lt;0.05,"0 - 0.05",Cleaned_Data[[#This Row],[Price (USD)]]&lt;0.5,"0.05 - 0.5",Cleaned_Data[[#This Row],[Price (USD)]]&lt;5,"0.5 - 5",Cleaned_Data[[#This Row],[Price (USD)]]&lt;50,"5 - 50",Cleaned_Data[[#This Row],[Price (USD)]]&gt;=50,"&gt; 50")</f>
        <v>0 - 0.05</v>
      </c>
      <c r="O125">
        <f>(Cleaned_Data[[#This Row],[1h Change (%)]]+Cleaned_Data[[#This Row],[24h Change (%)]]+Cleaned_Data[[#This Row],[7d Change (%)]])/3</f>
        <v>0.15440000000000001</v>
      </c>
      <c r="P125">
        <f>Cleaned_Data[[#This Row],[Price (USD)]]/(1+Cleaned_Data[[#This Row],[1h Change (%)]]/100)</f>
        <v>4.5598905626264973E-2</v>
      </c>
      <c r="Q125">
        <f>Cleaned_Data[[#This Row],[Price (USD)]]/(1-Cleaned_Data[[#This Row],[24h Change (%)]]/100)</f>
        <v>4.5626280737704923E-2</v>
      </c>
      <c r="R125">
        <f>Cleaned_Data[[#This Row],[Price (USD)]]/(1+Cleaned_Data[[#This Row],[7d Change (%)]]/100)</f>
        <v>4.5416879143294238E-2</v>
      </c>
      <c r="S125">
        <f>Cleaned_Data[[#This Row],[Price (USD)]]-Cleaned_Data[[#This Row],[1-Hour Before Price]]</f>
        <v>1.0943737350291305E-6</v>
      </c>
    </row>
    <row r="126" spans="1:19" x14ac:dyDescent="0.3">
      <c r="A126" t="s">
        <v>808</v>
      </c>
      <c r="B126" t="s">
        <v>809</v>
      </c>
      <c r="C126">
        <v>8.7099999999999997E-2</v>
      </c>
      <c r="D126">
        <v>6.1999999999999998E-3</v>
      </c>
      <c r="E126">
        <v>8712671</v>
      </c>
      <c r="F126">
        <v>260752</v>
      </c>
      <c r="G126" t="s">
        <v>814</v>
      </c>
      <c r="H126">
        <v>99990000</v>
      </c>
      <c r="I126">
        <f>Cleaned_Data[[#This Row],[Volume (24h) USD]]/Cleaned_Data[[#This Row],[Circulating_Supply($)]]</f>
        <v>2.607780778077808E-3</v>
      </c>
      <c r="J126">
        <f>RANK(Cleaned_Data[[#This Row],[Market Cap]],Cleaned_Data[Market Cap],0)</f>
        <v>125</v>
      </c>
      <c r="K126" t="str">
        <f t="shared" si="3"/>
        <v>0-0.5</v>
      </c>
      <c r="L126">
        <f>Cleaned_Data[[#This Row],[1h Change (%)]]*24</f>
        <v>0.14879999999999999</v>
      </c>
      <c r="M126">
        <f>Cleaned_Data[[#This Row],[24h Change (%)]]*7</f>
        <v>1.0415999999999999</v>
      </c>
      <c r="N126" t="str" cm="1">
        <f t="array" ref="N126">_xlfn.IFS(Cleaned_Data[[#This Row],[Price (USD)]]&lt;0.05,"0 - 0.05",Cleaned_Data[[#This Row],[Price (USD)]]&lt;0.5,"0.05 - 0.5",Cleaned_Data[[#This Row],[Price (USD)]]&lt;5,"0.5 - 5",Cleaned_Data[[#This Row],[Price (USD)]]&lt;50,"5 - 50",Cleaned_Data[[#This Row],[Price (USD)]]&gt;=50,"&gt; 50")</f>
        <v>0.05 - 0.5</v>
      </c>
      <c r="O126">
        <f>(Cleaned_Data[[#This Row],[1h Change (%)]]+Cleaned_Data[[#This Row],[24h Change (%)]]+Cleaned_Data[[#This Row],[7d Change (%)]])/3</f>
        <v>0.39886666666666665</v>
      </c>
      <c r="P126">
        <f>Cleaned_Data[[#This Row],[Price (USD)]]/(1+Cleaned_Data[[#This Row],[1h Change (%)]]/100)</f>
        <v>8.7094600134791644E-2</v>
      </c>
      <c r="Q126">
        <f>Cleaned_Data[[#This Row],[Price (USD)]]/(1-Cleaned_Data[[#This Row],[24h Change (%)]]/100)</f>
        <v>8.7229797939333734E-2</v>
      </c>
      <c r="R126">
        <f>Cleaned_Data[[#This Row],[Price (USD)]]/(1+Cleaned_Data[[#This Row],[7d Change (%)]]/100)</f>
        <v>8.6202118731294838E-2</v>
      </c>
      <c r="S126">
        <f>Cleaned_Data[[#This Row],[Price (USD)]]-Cleaned_Data[[#This Row],[1-Hour Before Price]]</f>
        <v>5.3998652083525611E-6</v>
      </c>
    </row>
    <row r="127" spans="1:19" x14ac:dyDescent="0.3">
      <c r="A127" t="s">
        <v>815</v>
      </c>
      <c r="B127" t="s">
        <v>816</v>
      </c>
      <c r="C127">
        <v>3.95E-2</v>
      </c>
      <c r="D127">
        <v>4.1000000000000003E-3</v>
      </c>
      <c r="E127">
        <v>8699473</v>
      </c>
      <c r="F127">
        <v>7734230</v>
      </c>
      <c r="G127" t="s">
        <v>820</v>
      </c>
      <c r="H127">
        <v>220100000</v>
      </c>
      <c r="I127">
        <f>Cleaned_Data[[#This Row],[Volume (24h) USD]]/Cleaned_Data[[#This Row],[Circulating_Supply($)]]</f>
        <v>3.5139618355293049E-2</v>
      </c>
      <c r="J127">
        <f>RANK(Cleaned_Data[[#This Row],[Market Cap]],Cleaned_Data[Market Cap],0)</f>
        <v>126</v>
      </c>
      <c r="K127" t="str">
        <f t="shared" si="3"/>
        <v>0-0.5</v>
      </c>
      <c r="L127">
        <f>Cleaned_Data[[#This Row],[1h Change (%)]]*24</f>
        <v>9.8400000000000015E-2</v>
      </c>
      <c r="M127">
        <f>Cleaned_Data[[#This Row],[24h Change (%)]]*7</f>
        <v>0.68880000000000008</v>
      </c>
      <c r="N127" t="str" cm="1">
        <f t="array" ref="N127">_xlfn.IFS(Cleaned_Data[[#This Row],[Price (USD)]]&lt;0.05,"0 - 0.05",Cleaned_Data[[#This Row],[Price (USD)]]&lt;0.5,"0.05 - 0.5",Cleaned_Data[[#This Row],[Price (USD)]]&lt;5,"0.5 - 5",Cleaned_Data[[#This Row],[Price (USD)]]&lt;50,"5 - 50",Cleaned_Data[[#This Row],[Price (USD)]]&gt;=50,"&gt; 50")</f>
        <v>0 - 0.05</v>
      </c>
      <c r="O127">
        <f>(Cleaned_Data[[#This Row],[1h Change (%)]]+Cleaned_Data[[#This Row],[24h Change (%)]]+Cleaned_Data[[#This Row],[7d Change (%)]])/3</f>
        <v>0.2637666666666667</v>
      </c>
      <c r="P127">
        <f>Cleaned_Data[[#This Row],[Price (USD)]]/(1+Cleaned_Data[[#This Row],[1h Change (%)]]/100)</f>
        <v>3.9498380566396783E-2</v>
      </c>
      <c r="Q127">
        <f>Cleaned_Data[[#This Row],[Price (USD)]]/(1-Cleaned_Data[[#This Row],[24h Change (%)]]/100)</f>
        <v>3.9538906283783246E-2</v>
      </c>
      <c r="R127">
        <f>Cleaned_Data[[#This Row],[Price (USD)]]/(1+Cleaned_Data[[#This Row],[7d Change (%)]]/100)</f>
        <v>3.9229785239271897E-2</v>
      </c>
      <c r="S127">
        <f>Cleaned_Data[[#This Row],[Price (USD)]]-Cleaned_Data[[#This Row],[1-Hour Before Price]]</f>
        <v>1.6194336032171464E-6</v>
      </c>
    </row>
    <row r="128" spans="1:19" x14ac:dyDescent="0.3">
      <c r="A128" t="s">
        <v>821</v>
      </c>
      <c r="B128" t="s">
        <v>822</v>
      </c>
      <c r="C128">
        <v>9.8699999999999996E-2</v>
      </c>
      <c r="D128">
        <v>4.3E-3</v>
      </c>
      <c r="E128">
        <v>8669853</v>
      </c>
      <c r="F128">
        <v>229548</v>
      </c>
      <c r="G128" t="s">
        <v>826</v>
      </c>
      <c r="H128">
        <v>87820000</v>
      </c>
      <c r="I128">
        <f>Cleaned_Data[[#This Row],[Volume (24h) USD]]/Cleaned_Data[[#This Row],[Circulating_Supply($)]]</f>
        <v>2.6138465042131634E-3</v>
      </c>
      <c r="J128">
        <f>RANK(Cleaned_Data[[#This Row],[Market Cap]],Cleaned_Data[Market Cap],0)</f>
        <v>127</v>
      </c>
      <c r="K128" t="str">
        <f t="shared" si="3"/>
        <v>0-0.5</v>
      </c>
      <c r="L128">
        <f>Cleaned_Data[[#This Row],[1h Change (%)]]*24</f>
        <v>0.1032</v>
      </c>
      <c r="M128">
        <f>Cleaned_Data[[#This Row],[24h Change (%)]]*7</f>
        <v>0.72240000000000004</v>
      </c>
      <c r="N128" t="str" cm="1">
        <f t="array" ref="N128">_xlfn.IFS(Cleaned_Data[[#This Row],[Price (USD)]]&lt;0.05,"0 - 0.05",Cleaned_Data[[#This Row],[Price (USD)]]&lt;0.5,"0.05 - 0.5",Cleaned_Data[[#This Row],[Price (USD)]]&lt;5,"0.5 - 5",Cleaned_Data[[#This Row],[Price (USD)]]&lt;50,"5 - 50",Cleaned_Data[[#This Row],[Price (USD)]]&gt;=50,"&gt; 50")</f>
        <v>0.05 - 0.5</v>
      </c>
      <c r="O128">
        <f>(Cleaned_Data[[#This Row],[1h Change (%)]]+Cleaned_Data[[#This Row],[24h Change (%)]]+Cleaned_Data[[#This Row],[7d Change (%)]])/3</f>
        <v>0.27663333333333334</v>
      </c>
      <c r="P128">
        <f>Cleaned_Data[[#This Row],[Price (USD)]]/(1+Cleaned_Data[[#This Row],[1h Change (%)]]/100)</f>
        <v>9.8695756082488442E-2</v>
      </c>
      <c r="Q128">
        <f>Cleaned_Data[[#This Row],[Price (USD)]]/(1-Cleaned_Data[[#This Row],[24h Change (%)]]/100)</f>
        <v>9.8801963626462513E-2</v>
      </c>
      <c r="R128">
        <f>Cleaned_Data[[#This Row],[Price (USD)]]/(1+Cleaned_Data[[#This Row],[7d Change (%)]]/100)</f>
        <v>9.7992105033239879E-2</v>
      </c>
      <c r="S128">
        <f>Cleaned_Data[[#This Row],[Price (USD)]]-Cleaned_Data[[#This Row],[1-Hour Before Price]]</f>
        <v>4.2439175115538408E-6</v>
      </c>
    </row>
    <row r="129" spans="1:19" x14ac:dyDescent="0.3">
      <c r="A129" t="s">
        <v>827</v>
      </c>
      <c r="B129" t="s">
        <v>828</v>
      </c>
      <c r="C129">
        <v>0.29120000000000001</v>
      </c>
      <c r="D129">
        <v>4.3E-3</v>
      </c>
      <c r="E129">
        <v>8662826</v>
      </c>
      <c r="F129">
        <v>65907</v>
      </c>
      <c r="G129" t="s">
        <v>832</v>
      </c>
      <c r="H129">
        <v>29740000</v>
      </c>
      <c r="I129">
        <f>Cleaned_Data[[#This Row],[Volume (24h) USD]]/Cleaned_Data[[#This Row],[Circulating_Supply($)]]</f>
        <v>2.2161062542030933E-3</v>
      </c>
      <c r="J129">
        <f>RANK(Cleaned_Data[[#This Row],[Market Cap]],Cleaned_Data[Market Cap],0)</f>
        <v>128</v>
      </c>
      <c r="K129" t="str">
        <f t="shared" si="3"/>
        <v>0-0.5</v>
      </c>
      <c r="L129">
        <f>Cleaned_Data[[#This Row],[1h Change (%)]]*24</f>
        <v>0.1032</v>
      </c>
      <c r="M129">
        <f>Cleaned_Data[[#This Row],[24h Change (%)]]*7</f>
        <v>0.72240000000000004</v>
      </c>
      <c r="N129" t="str" cm="1">
        <f t="array" ref="N129">_xlfn.IFS(Cleaned_Data[[#This Row],[Price (USD)]]&lt;0.05,"0 - 0.05",Cleaned_Data[[#This Row],[Price (USD)]]&lt;0.5,"0.05 - 0.5",Cleaned_Data[[#This Row],[Price (USD)]]&lt;5,"0.5 - 5",Cleaned_Data[[#This Row],[Price (USD)]]&lt;50,"5 - 50",Cleaned_Data[[#This Row],[Price (USD)]]&gt;=50,"&gt; 50")</f>
        <v>0.05 - 0.5</v>
      </c>
      <c r="O129">
        <f>(Cleaned_Data[[#This Row],[1h Change (%)]]+Cleaned_Data[[#This Row],[24h Change (%)]]+Cleaned_Data[[#This Row],[7d Change (%)]])/3</f>
        <v>0.27663333333333334</v>
      </c>
      <c r="P129">
        <f>Cleaned_Data[[#This Row],[Price (USD)]]/(1+Cleaned_Data[[#This Row],[1h Change (%)]]/100)</f>
        <v>0.29118747893840569</v>
      </c>
      <c r="Q129">
        <f>Cleaned_Data[[#This Row],[Price (USD)]]/(1-Cleaned_Data[[#This Row],[24h Change (%)]]/100)</f>
        <v>0.29150082885537876</v>
      </c>
      <c r="R129">
        <f>Cleaned_Data[[#This Row],[Price (USD)]]/(1+Cleaned_Data[[#This Row],[7d Change (%)]]/100)</f>
        <v>0.28911145882147371</v>
      </c>
      <c r="S129">
        <f>Cleaned_Data[[#This Row],[Price (USD)]]-Cleaned_Data[[#This Row],[1-Hour Before Price]]</f>
        <v>1.2521061594328309E-5</v>
      </c>
    </row>
    <row r="130" spans="1:19" x14ac:dyDescent="0.3">
      <c r="A130" t="s">
        <v>842</v>
      </c>
      <c r="B130" t="s">
        <v>843</v>
      </c>
      <c r="C130">
        <v>3.4700000000000002E-2</v>
      </c>
      <c r="D130">
        <v>1.5E-3</v>
      </c>
      <c r="E130">
        <v>6977656</v>
      </c>
      <c r="F130">
        <v>146941</v>
      </c>
      <c r="G130" t="s">
        <v>847</v>
      </c>
      <c r="H130">
        <v>201120000</v>
      </c>
      <c r="I130">
        <f>Cleaned_Data[[#This Row],[Volume (24h) USD]]/Cleaned_Data[[#This Row],[Circulating_Supply($)]]</f>
        <v>7.3061356404136837E-4</v>
      </c>
      <c r="J130">
        <f>RANK(Cleaned_Data[[#This Row],[Market Cap]],Cleaned_Data[Market Cap],0)</f>
        <v>129</v>
      </c>
      <c r="K130" t="str">
        <f t="shared" ref="K130:K161" si="4">IF(C130&lt;=0.5,"0-0.5",
IF(C130&lt;=1,"0.5-1",
IF(C130&lt;=2,"1-2",
IF(C130&lt;=10,"2-10",
IF(C130&lt;=100,"10-100",
IF(C130&lt;=10000,"100-10000",
"10000+"))))))</f>
        <v>0-0.5</v>
      </c>
      <c r="L130">
        <f>Cleaned_Data[[#This Row],[1h Change (%)]]*24</f>
        <v>3.6000000000000004E-2</v>
      </c>
      <c r="M130">
        <f>Cleaned_Data[[#This Row],[24h Change (%)]]*7</f>
        <v>0.252</v>
      </c>
      <c r="N130" t="str" cm="1">
        <f t="array" ref="N130">_xlfn.IFS(Cleaned_Data[[#This Row],[Price (USD)]]&lt;0.05,"0 - 0.05",Cleaned_Data[[#This Row],[Price (USD)]]&lt;0.5,"0.05 - 0.5",Cleaned_Data[[#This Row],[Price (USD)]]&lt;5,"0.5 - 5",Cleaned_Data[[#This Row],[Price (USD)]]&lt;50,"5 - 50",Cleaned_Data[[#This Row],[Price (USD)]]&gt;=50,"&gt; 50")</f>
        <v>0 - 0.05</v>
      </c>
      <c r="O130">
        <f>(Cleaned_Data[[#This Row],[1h Change (%)]]+Cleaned_Data[[#This Row],[24h Change (%)]]+Cleaned_Data[[#This Row],[7d Change (%)]])/3</f>
        <v>9.6499999999999989E-2</v>
      </c>
      <c r="P130">
        <f>Cleaned_Data[[#This Row],[Price (USD)]]/(1+Cleaned_Data[[#This Row],[1h Change (%)]]/100)</f>
        <v>3.4699479507807378E-2</v>
      </c>
      <c r="Q130">
        <f>Cleaned_Data[[#This Row],[Price (USD)]]/(1-Cleaned_Data[[#This Row],[24h Change (%)]]/100)</f>
        <v>3.4712496498739552E-2</v>
      </c>
      <c r="R130">
        <f>Cleaned_Data[[#This Row],[Price (USD)]]/(1+Cleaned_Data[[#This Row],[7d Change (%)]]/100)</f>
        <v>3.461277580497147E-2</v>
      </c>
      <c r="S130">
        <f>Cleaned_Data[[#This Row],[Price (USD)]]-Cleaned_Data[[#This Row],[1-Hour Before Price]]</f>
        <v>5.2049219262384483E-7</v>
      </c>
    </row>
    <row r="131" spans="1:19" x14ac:dyDescent="0.3">
      <c r="A131" t="s">
        <v>848</v>
      </c>
      <c r="B131" t="s">
        <v>849</v>
      </c>
      <c r="C131">
        <v>1.9300000000000001E-2</v>
      </c>
      <c r="D131">
        <v>2.0000000000000001E-4</v>
      </c>
      <c r="E131">
        <v>6955385</v>
      </c>
      <c r="F131">
        <v>6780</v>
      </c>
      <c r="G131" t="s">
        <v>853</v>
      </c>
      <c r="H131">
        <v>359590000</v>
      </c>
      <c r="I131">
        <f>Cleaned_Data[[#This Row],[Volume (24h) USD]]/Cleaned_Data[[#This Row],[Circulating_Supply($)]]</f>
        <v>1.8854806863372173E-5</v>
      </c>
      <c r="J131">
        <f>RANK(Cleaned_Data[[#This Row],[Market Cap]],Cleaned_Data[Market Cap],0)</f>
        <v>130</v>
      </c>
      <c r="K131" t="str">
        <f t="shared" si="4"/>
        <v>0-0.5</v>
      </c>
      <c r="L131">
        <f>Cleaned_Data[[#This Row],[1h Change (%)]]*24</f>
        <v>4.8000000000000004E-3</v>
      </c>
      <c r="M131">
        <f>Cleaned_Data[[#This Row],[24h Change (%)]]*7</f>
        <v>3.3600000000000005E-2</v>
      </c>
      <c r="N131" t="str" cm="1">
        <f t="array" ref="N131">_xlfn.IFS(Cleaned_Data[[#This Row],[Price (USD)]]&lt;0.05,"0 - 0.05",Cleaned_Data[[#This Row],[Price (USD)]]&lt;0.5,"0.05 - 0.5",Cleaned_Data[[#This Row],[Price (USD)]]&lt;5,"0.5 - 5",Cleaned_Data[[#This Row],[Price (USD)]]&lt;50,"5 - 50",Cleaned_Data[[#This Row],[Price (USD)]]&gt;=50,"&gt; 50")</f>
        <v>0 - 0.05</v>
      </c>
      <c r="O131">
        <f>(Cleaned_Data[[#This Row],[1h Change (%)]]+Cleaned_Data[[#This Row],[24h Change (%)]]+Cleaned_Data[[#This Row],[7d Change (%)]])/3</f>
        <v>1.2866666666666667E-2</v>
      </c>
      <c r="P131">
        <f>Cleaned_Data[[#This Row],[Price (USD)]]/(1+Cleaned_Data[[#This Row],[1h Change (%)]]/100)</f>
        <v>1.9299961400077201E-2</v>
      </c>
      <c r="Q131">
        <f>Cleaned_Data[[#This Row],[Price (USD)]]/(1-Cleaned_Data[[#This Row],[24h Change (%)]]/100)</f>
        <v>1.9300926444469336E-2</v>
      </c>
      <c r="R131">
        <f>Cleaned_Data[[#This Row],[Price (USD)]]/(1+Cleaned_Data[[#This Row],[7d Change (%)]]/100)</f>
        <v>1.929351737816094E-2</v>
      </c>
      <c r="S131">
        <f>Cleaned_Data[[#This Row],[Price (USD)]]-Cleaned_Data[[#This Row],[1-Hour Before Price]]</f>
        <v>3.859992279975355E-8</v>
      </c>
    </row>
    <row r="132" spans="1:19" x14ac:dyDescent="0.3">
      <c r="A132" t="s">
        <v>859</v>
      </c>
      <c r="B132" t="s">
        <v>860</v>
      </c>
      <c r="C132">
        <v>1.38</v>
      </c>
      <c r="D132">
        <v>2.8500000000000001E-2</v>
      </c>
      <c r="E132">
        <v>6916559</v>
      </c>
      <c r="F132">
        <v>425962</v>
      </c>
      <c r="G132" t="s">
        <v>865</v>
      </c>
      <c r="H132">
        <v>4990000</v>
      </c>
      <c r="I132">
        <f>Cleaned_Data[[#This Row],[Volume (24h) USD]]/Cleaned_Data[[#This Row],[Circulating_Supply($)]]</f>
        <v>8.5363126252505014E-2</v>
      </c>
      <c r="J132">
        <f>RANK(Cleaned_Data[[#This Row],[Market Cap]],Cleaned_Data[Market Cap],0)</f>
        <v>131</v>
      </c>
      <c r="K132" t="str">
        <f t="shared" si="4"/>
        <v>1-2</v>
      </c>
      <c r="L132">
        <f>Cleaned_Data[[#This Row],[1h Change (%)]]*24</f>
        <v>0.68400000000000005</v>
      </c>
      <c r="M132">
        <f>Cleaned_Data[[#This Row],[24h Change (%)]]*7</f>
        <v>4.7880000000000003</v>
      </c>
      <c r="N132" t="str" cm="1">
        <f t="array" ref="N132">_xlfn.IFS(Cleaned_Data[[#This Row],[Price (USD)]]&lt;0.05,"0 - 0.05",Cleaned_Data[[#This Row],[Price (USD)]]&lt;0.5,"0.05 - 0.5",Cleaned_Data[[#This Row],[Price (USD)]]&lt;5,"0.5 - 5",Cleaned_Data[[#This Row],[Price (USD)]]&lt;50,"5 - 50",Cleaned_Data[[#This Row],[Price (USD)]]&gt;=50,"&gt; 50")</f>
        <v>0.5 - 5</v>
      </c>
      <c r="O132">
        <f>(Cleaned_Data[[#This Row],[1h Change (%)]]+Cleaned_Data[[#This Row],[24h Change (%)]]+Cleaned_Data[[#This Row],[7d Change (%)]])/3</f>
        <v>1.8335000000000001</v>
      </c>
      <c r="P132">
        <f>Cleaned_Data[[#This Row],[Price (USD)]]/(1+Cleaned_Data[[#This Row],[1h Change (%)]]/100)</f>
        <v>1.3796068120585632</v>
      </c>
      <c r="Q132">
        <f>Cleaned_Data[[#This Row],[Price (USD)]]/(1-Cleaned_Data[[#This Row],[24h Change (%)]]/100)</f>
        <v>1.3895042087881104</v>
      </c>
      <c r="R132">
        <f>Cleaned_Data[[#This Row],[Price (USD)]]/(1+Cleaned_Data[[#This Row],[7d Change (%)]]/100)</f>
        <v>1.3169446883230904</v>
      </c>
      <c r="S132">
        <f>Cleaned_Data[[#This Row],[Price (USD)]]-Cleaned_Data[[#This Row],[1-Hour Before Price]]</f>
        <v>3.9318794143672342E-4</v>
      </c>
    </row>
    <row r="133" spans="1:19" x14ac:dyDescent="0.3">
      <c r="A133" t="s">
        <v>866</v>
      </c>
      <c r="B133" t="s">
        <v>867</v>
      </c>
      <c r="C133">
        <v>2.9999999999999997E-4</v>
      </c>
      <c r="D133">
        <v>5.9999999999999995E-4</v>
      </c>
      <c r="E133">
        <v>6910668</v>
      </c>
      <c r="F133">
        <v>87808</v>
      </c>
      <c r="G133" t="s">
        <v>871</v>
      </c>
      <c r="H133">
        <v>23060000000</v>
      </c>
      <c r="I133">
        <f>Cleaned_Data[[#This Row],[Volume (24h) USD]]/Cleaned_Data[[#This Row],[Circulating_Supply($)]]</f>
        <v>3.8078057241977451E-6</v>
      </c>
      <c r="J133">
        <f>RANK(Cleaned_Data[[#This Row],[Market Cap]],Cleaned_Data[Market Cap],0)</f>
        <v>132</v>
      </c>
      <c r="K133" t="str">
        <f t="shared" si="4"/>
        <v>0-0.5</v>
      </c>
      <c r="L133">
        <f>Cleaned_Data[[#This Row],[1h Change (%)]]*24</f>
        <v>1.44E-2</v>
      </c>
      <c r="M133">
        <f>Cleaned_Data[[#This Row],[24h Change (%)]]*7</f>
        <v>0.1008</v>
      </c>
      <c r="N133" t="str" cm="1">
        <f t="array" ref="N133">_xlfn.IFS(Cleaned_Data[[#This Row],[Price (USD)]]&lt;0.05,"0 - 0.05",Cleaned_Data[[#This Row],[Price (USD)]]&lt;0.5,"0.05 - 0.5",Cleaned_Data[[#This Row],[Price (USD)]]&lt;5,"0.5 - 5",Cleaned_Data[[#This Row],[Price (USD)]]&lt;50,"5 - 50",Cleaned_Data[[#This Row],[Price (USD)]]&gt;=50,"&gt; 50")</f>
        <v>0 - 0.05</v>
      </c>
      <c r="O133">
        <f>(Cleaned_Data[[#This Row],[1h Change (%)]]+Cleaned_Data[[#This Row],[24h Change (%)]]+Cleaned_Data[[#This Row],[7d Change (%)]])/3</f>
        <v>3.8600000000000002E-2</v>
      </c>
      <c r="P133">
        <f>Cleaned_Data[[#This Row],[Price (USD)]]/(1+Cleaned_Data[[#This Row],[1h Change (%)]]/100)</f>
        <v>2.9999820001079991E-4</v>
      </c>
      <c r="Q133">
        <f>Cleaned_Data[[#This Row],[Price (USD)]]/(1-Cleaned_Data[[#This Row],[24h Change (%)]]/100)</f>
        <v>3.0004320622169592E-4</v>
      </c>
      <c r="R133">
        <f>Cleaned_Data[[#This Row],[Price (USD)]]/(1+Cleaned_Data[[#This Row],[7d Change (%)]]/100)</f>
        <v>2.9969790451225164E-4</v>
      </c>
      <c r="S133">
        <f>Cleaned_Data[[#This Row],[Price (USD)]]-Cleaned_Data[[#This Row],[1-Hour Before Price]]</f>
        <v>1.7999892000628188E-9</v>
      </c>
    </row>
    <row r="134" spans="1:19" x14ac:dyDescent="0.3">
      <c r="A134" t="s">
        <v>872</v>
      </c>
      <c r="B134" t="s">
        <v>873</v>
      </c>
      <c r="C134">
        <v>1E-3</v>
      </c>
      <c r="D134">
        <v>3.8E-3</v>
      </c>
      <c r="E134">
        <v>6901123</v>
      </c>
      <c r="F134">
        <v>187469</v>
      </c>
      <c r="G134" t="s">
        <v>877</v>
      </c>
      <c r="H134">
        <v>6930000000</v>
      </c>
      <c r="I134">
        <f>Cleaned_Data[[#This Row],[Volume (24h) USD]]/Cleaned_Data[[#This Row],[Circulating_Supply($)]]</f>
        <v>2.7051803751803753E-5</v>
      </c>
      <c r="J134">
        <f>RANK(Cleaned_Data[[#This Row],[Market Cap]],Cleaned_Data[Market Cap],0)</f>
        <v>133</v>
      </c>
      <c r="K134" t="str">
        <f t="shared" si="4"/>
        <v>0-0.5</v>
      </c>
      <c r="L134">
        <f>Cleaned_Data[[#This Row],[1h Change (%)]]*24</f>
        <v>9.1200000000000003E-2</v>
      </c>
      <c r="M134">
        <f>Cleaned_Data[[#This Row],[24h Change (%)]]*7</f>
        <v>0.63840000000000008</v>
      </c>
      <c r="N134" t="str" cm="1">
        <f t="array" ref="N134">_xlfn.IFS(Cleaned_Data[[#This Row],[Price (USD)]]&lt;0.05,"0 - 0.05",Cleaned_Data[[#This Row],[Price (USD)]]&lt;0.5,"0.05 - 0.5",Cleaned_Data[[#This Row],[Price (USD)]]&lt;5,"0.5 - 5",Cleaned_Data[[#This Row],[Price (USD)]]&lt;50,"5 - 50",Cleaned_Data[[#This Row],[Price (USD)]]&gt;=50,"&gt; 50")</f>
        <v>0 - 0.05</v>
      </c>
      <c r="O134">
        <f>(Cleaned_Data[[#This Row],[1h Change (%)]]+Cleaned_Data[[#This Row],[24h Change (%)]]+Cleaned_Data[[#This Row],[7d Change (%)]])/3</f>
        <v>0.24446666666666669</v>
      </c>
      <c r="P134">
        <f>Cleaned_Data[[#This Row],[Price (USD)]]/(1+Cleaned_Data[[#This Row],[1h Change (%)]]/100)</f>
        <v>9.9996200144394508E-4</v>
      </c>
      <c r="Q134">
        <f>Cleaned_Data[[#This Row],[Price (USD)]]/(1-Cleaned_Data[[#This Row],[24h Change (%)]]/100)</f>
        <v>1.0009128325032431E-3</v>
      </c>
      <c r="R134">
        <f>Cleaned_Data[[#This Row],[Price (USD)]]/(1+Cleaned_Data[[#This Row],[7d Change (%)]]/100)</f>
        <v>9.9365649692363949E-4</v>
      </c>
      <c r="S134">
        <f>Cleaned_Data[[#This Row],[Price (USD)]]-Cleaned_Data[[#This Row],[1-Hour Before Price]]</f>
        <v>3.7998556054940832E-8</v>
      </c>
    </row>
    <row r="135" spans="1:19" x14ac:dyDescent="0.3">
      <c r="A135" t="s">
        <v>878</v>
      </c>
      <c r="B135" t="s">
        <v>878</v>
      </c>
      <c r="C135">
        <v>0.13519999999999999</v>
      </c>
      <c r="D135">
        <v>1.8E-3</v>
      </c>
      <c r="E135">
        <v>6897513</v>
      </c>
      <c r="F135">
        <v>340331</v>
      </c>
      <c r="G135" t="s">
        <v>883</v>
      </c>
      <c r="H135">
        <v>50990000</v>
      </c>
      <c r="I135">
        <f>Cleaned_Data[[#This Row],[Volume (24h) USD]]/Cleaned_Data[[#This Row],[Circulating_Supply($)]]</f>
        <v>6.6744655814865656E-3</v>
      </c>
      <c r="J135">
        <f>RANK(Cleaned_Data[[#This Row],[Market Cap]],Cleaned_Data[Market Cap],0)</f>
        <v>134</v>
      </c>
      <c r="K135" t="str">
        <f t="shared" si="4"/>
        <v>0-0.5</v>
      </c>
      <c r="L135">
        <f>Cleaned_Data[[#This Row],[1h Change (%)]]*24</f>
        <v>4.3200000000000002E-2</v>
      </c>
      <c r="M135">
        <f>Cleaned_Data[[#This Row],[24h Change (%)]]*7</f>
        <v>0.3024</v>
      </c>
      <c r="N135" t="str" cm="1">
        <f t="array" ref="N135">_xlfn.IFS(Cleaned_Data[[#This Row],[Price (USD)]]&lt;0.05,"0 - 0.05",Cleaned_Data[[#This Row],[Price (USD)]]&lt;0.5,"0.05 - 0.5",Cleaned_Data[[#This Row],[Price (USD)]]&lt;5,"0.5 - 5",Cleaned_Data[[#This Row],[Price (USD)]]&lt;50,"5 - 50",Cleaned_Data[[#This Row],[Price (USD)]]&gt;=50,"&gt; 50")</f>
        <v>0.05 - 0.5</v>
      </c>
      <c r="O135">
        <f>(Cleaned_Data[[#This Row],[1h Change (%)]]+Cleaned_Data[[#This Row],[24h Change (%)]]+Cleaned_Data[[#This Row],[7d Change (%)]])/3</f>
        <v>0.1158</v>
      </c>
      <c r="P135">
        <f>Cleaned_Data[[#This Row],[Price (USD)]]/(1+Cleaned_Data[[#This Row],[1h Change (%)]]/100)</f>
        <v>0.13519756644380398</v>
      </c>
      <c r="Q135">
        <f>Cleaned_Data[[#This Row],[Price (USD)]]/(1-Cleaned_Data[[#This Row],[24h Change (%)]]/100)</f>
        <v>0.13525843164246953</v>
      </c>
      <c r="R135">
        <f>Cleaned_Data[[#This Row],[Price (USD)]]/(1+Cleaned_Data[[#This Row],[7d Change (%)]]/100)</f>
        <v>0.13479238781923464</v>
      </c>
      <c r="S135">
        <f>Cleaned_Data[[#This Row],[Price (USD)]]-Cleaned_Data[[#This Row],[1-Hour Before Price]]</f>
        <v>2.4335561960020513E-6</v>
      </c>
    </row>
    <row r="136" spans="1:19" x14ac:dyDescent="0.3">
      <c r="A136" t="s">
        <v>884</v>
      </c>
      <c r="B136" t="s">
        <v>885</v>
      </c>
      <c r="C136">
        <v>4.8999999999999998E-3</v>
      </c>
      <c r="D136">
        <v>1.1999999999999999E-3</v>
      </c>
      <c r="E136">
        <v>6894766</v>
      </c>
      <c r="F136">
        <v>321408</v>
      </c>
      <c r="G136" t="s">
        <v>889</v>
      </c>
      <c r="H136">
        <v>1400000000</v>
      </c>
      <c r="I136">
        <f>Cleaned_Data[[#This Row],[Volume (24h) USD]]/Cleaned_Data[[#This Row],[Circulating_Supply($)]]</f>
        <v>2.2957714285714285E-4</v>
      </c>
      <c r="J136">
        <f>RANK(Cleaned_Data[[#This Row],[Market Cap]],Cleaned_Data[Market Cap],0)</f>
        <v>135</v>
      </c>
      <c r="K136" t="str">
        <f t="shared" si="4"/>
        <v>0-0.5</v>
      </c>
      <c r="L136">
        <f>Cleaned_Data[[#This Row],[1h Change (%)]]*24</f>
        <v>2.8799999999999999E-2</v>
      </c>
      <c r="M136">
        <f>Cleaned_Data[[#This Row],[24h Change (%)]]*7</f>
        <v>0.2016</v>
      </c>
      <c r="N136" t="str" cm="1">
        <f t="array" ref="N136">_xlfn.IFS(Cleaned_Data[[#This Row],[Price (USD)]]&lt;0.05,"0 - 0.05",Cleaned_Data[[#This Row],[Price (USD)]]&lt;0.5,"0.05 - 0.5",Cleaned_Data[[#This Row],[Price (USD)]]&lt;5,"0.5 - 5",Cleaned_Data[[#This Row],[Price (USD)]]&lt;50,"5 - 50",Cleaned_Data[[#This Row],[Price (USD)]]&gt;=50,"&gt; 50")</f>
        <v>0 - 0.05</v>
      </c>
      <c r="O136">
        <f>(Cleaned_Data[[#This Row],[1h Change (%)]]+Cleaned_Data[[#This Row],[24h Change (%)]]+Cleaned_Data[[#This Row],[7d Change (%)]])/3</f>
        <v>7.7200000000000005E-2</v>
      </c>
      <c r="P136">
        <f>Cleaned_Data[[#This Row],[Price (USD)]]/(1+Cleaned_Data[[#This Row],[1h Change (%)]]/100)</f>
        <v>4.8999412007055916E-3</v>
      </c>
      <c r="Q136">
        <f>Cleaned_Data[[#This Row],[Price (USD)]]/(1-Cleaned_Data[[#This Row],[24h Change (%)]]/100)</f>
        <v>4.9014116065426837E-3</v>
      </c>
      <c r="R136">
        <f>Cleaned_Data[[#This Row],[Price (USD)]]/(1+Cleaned_Data[[#This Row],[7d Change (%)]]/100)</f>
        <v>4.8901414747868294E-3</v>
      </c>
      <c r="S136">
        <f>Cleaned_Data[[#This Row],[Price (USD)]]-Cleaned_Data[[#This Row],[1-Hour Before Price]]</f>
        <v>5.8799294408266867E-8</v>
      </c>
    </row>
    <row r="137" spans="1:19" x14ac:dyDescent="0.3">
      <c r="A137" t="s">
        <v>890</v>
      </c>
      <c r="B137" t="s">
        <v>891</v>
      </c>
      <c r="C137">
        <v>6.0499999999999998E-2</v>
      </c>
      <c r="D137">
        <v>1.5900000000000001E-2</v>
      </c>
      <c r="E137">
        <v>5328756</v>
      </c>
      <c r="F137">
        <v>4164781</v>
      </c>
      <c r="G137" t="s">
        <v>895</v>
      </c>
      <c r="H137">
        <v>88030000</v>
      </c>
      <c r="I137">
        <f>Cleaned_Data[[#This Row],[Volume (24h) USD]]/Cleaned_Data[[#This Row],[Circulating_Supply($)]]</f>
        <v>4.7310928092695673E-2</v>
      </c>
      <c r="J137">
        <f>RANK(Cleaned_Data[[#This Row],[Market Cap]],Cleaned_Data[Market Cap],0)</f>
        <v>136</v>
      </c>
      <c r="K137" t="str">
        <f t="shared" si="4"/>
        <v>0-0.5</v>
      </c>
      <c r="L137">
        <f>Cleaned_Data[[#This Row],[1h Change (%)]]*24</f>
        <v>0.38160000000000005</v>
      </c>
      <c r="M137">
        <f>Cleaned_Data[[#This Row],[24h Change (%)]]*7</f>
        <v>2.6712000000000002</v>
      </c>
      <c r="N137" t="str" cm="1">
        <f t="array" ref="N137">_xlfn.IFS(Cleaned_Data[[#This Row],[Price (USD)]]&lt;0.05,"0 - 0.05",Cleaned_Data[[#This Row],[Price (USD)]]&lt;0.5,"0.05 - 0.5",Cleaned_Data[[#This Row],[Price (USD)]]&lt;5,"0.5 - 5",Cleaned_Data[[#This Row],[Price (USD)]]&lt;50,"5 - 50",Cleaned_Data[[#This Row],[Price (USD)]]&gt;=50,"&gt; 50")</f>
        <v>0.05 - 0.5</v>
      </c>
      <c r="O137">
        <f>(Cleaned_Data[[#This Row],[1h Change (%)]]+Cleaned_Data[[#This Row],[24h Change (%)]]+Cleaned_Data[[#This Row],[7d Change (%)]])/3</f>
        <v>1.0229000000000001</v>
      </c>
      <c r="P137">
        <f>Cleaned_Data[[#This Row],[Price (USD)]]/(1+Cleaned_Data[[#This Row],[1h Change (%)]]/100)</f>
        <v>6.0490382029257342E-2</v>
      </c>
      <c r="Q137">
        <f>Cleaned_Data[[#This Row],[Price (USD)]]/(1-Cleaned_Data[[#This Row],[24h Change (%)]]/100)</f>
        <v>6.0731752367032599E-2</v>
      </c>
      <c r="R137">
        <f>Cleaned_Data[[#This Row],[Price (USD)]]/(1+Cleaned_Data[[#This Row],[7d Change (%)]]/100)</f>
        <v>5.892596950264533E-2</v>
      </c>
      <c r="S137">
        <f>Cleaned_Data[[#This Row],[Price (USD)]]-Cleaned_Data[[#This Row],[1-Hour Before Price]]</f>
        <v>9.6179707426563565E-6</v>
      </c>
    </row>
    <row r="138" spans="1:19" x14ac:dyDescent="0.3">
      <c r="A138" t="s">
        <v>896</v>
      </c>
      <c r="B138" t="s">
        <v>897</v>
      </c>
      <c r="C138">
        <v>0.26100000000000001</v>
      </c>
      <c r="D138">
        <v>1.1000000000000001E-3</v>
      </c>
      <c r="E138">
        <v>5322203</v>
      </c>
      <c r="F138">
        <v>3754649</v>
      </c>
      <c r="G138" t="s">
        <v>901</v>
      </c>
      <c r="H138">
        <v>20380000</v>
      </c>
      <c r="I138">
        <f>Cleaned_Data[[#This Row],[Volume (24h) USD]]/Cleaned_Data[[#This Row],[Circulating_Supply($)]]</f>
        <v>0.18423204121687931</v>
      </c>
      <c r="J138">
        <f>RANK(Cleaned_Data[[#This Row],[Market Cap]],Cleaned_Data[Market Cap],0)</f>
        <v>137</v>
      </c>
      <c r="K138" t="str">
        <f t="shared" si="4"/>
        <v>0-0.5</v>
      </c>
      <c r="L138">
        <f>Cleaned_Data[[#This Row],[1h Change (%)]]*24</f>
        <v>2.64E-2</v>
      </c>
      <c r="M138">
        <f>Cleaned_Data[[#This Row],[24h Change (%)]]*7</f>
        <v>0.18479999999999999</v>
      </c>
      <c r="N138" t="str" cm="1">
        <f t="array" ref="N138">_xlfn.IFS(Cleaned_Data[[#This Row],[Price (USD)]]&lt;0.05,"0 - 0.05",Cleaned_Data[[#This Row],[Price (USD)]]&lt;0.5,"0.05 - 0.5",Cleaned_Data[[#This Row],[Price (USD)]]&lt;5,"0.5 - 5",Cleaned_Data[[#This Row],[Price (USD)]]&lt;50,"5 - 50",Cleaned_Data[[#This Row],[Price (USD)]]&gt;=50,"&gt; 50")</f>
        <v>0.05 - 0.5</v>
      </c>
      <c r="O138">
        <f>(Cleaned_Data[[#This Row],[1h Change (%)]]+Cleaned_Data[[#This Row],[24h Change (%)]]+Cleaned_Data[[#This Row],[7d Change (%)]])/3</f>
        <v>7.0766666666666658E-2</v>
      </c>
      <c r="P138">
        <f>Cleaned_Data[[#This Row],[Price (USD)]]/(1+Cleaned_Data[[#This Row],[1h Change (%)]]/100)</f>
        <v>0.26099712903158068</v>
      </c>
      <c r="Q138">
        <f>Cleaned_Data[[#This Row],[Price (USD)]]/(1-Cleaned_Data[[#This Row],[24h Change (%)]]/100)</f>
        <v>0.26106892219545963</v>
      </c>
      <c r="R138">
        <f>Cleaned_Data[[#This Row],[Price (USD)]]/(1+Cleaned_Data[[#This Row],[7d Change (%)]]/100)</f>
        <v>0.2605185616979821</v>
      </c>
      <c r="S138">
        <f>Cleaned_Data[[#This Row],[Price (USD)]]-Cleaned_Data[[#This Row],[1-Hour Before Price]]</f>
        <v>2.8709684193328755E-6</v>
      </c>
    </row>
    <row r="139" spans="1:19" x14ac:dyDescent="0.3">
      <c r="A139" t="s">
        <v>902</v>
      </c>
      <c r="B139" t="s">
        <v>903</v>
      </c>
      <c r="C139">
        <v>5.8999999999999999E-3</v>
      </c>
      <c r="D139">
        <v>1.1000000000000001E-3</v>
      </c>
      <c r="E139">
        <v>5321075</v>
      </c>
      <c r="F139">
        <v>59834</v>
      </c>
      <c r="G139" t="s">
        <v>907</v>
      </c>
      <c r="H139">
        <v>905300000</v>
      </c>
      <c r="I139">
        <f>Cleaned_Data[[#This Row],[Volume (24h) USD]]/Cleaned_Data[[#This Row],[Circulating_Supply($)]]</f>
        <v>6.6093007842704072E-5</v>
      </c>
      <c r="J139">
        <f>RANK(Cleaned_Data[[#This Row],[Market Cap]],Cleaned_Data[Market Cap],0)</f>
        <v>138</v>
      </c>
      <c r="K139" t="str">
        <f t="shared" si="4"/>
        <v>0-0.5</v>
      </c>
      <c r="L139">
        <f>Cleaned_Data[[#This Row],[1h Change (%)]]*24</f>
        <v>2.64E-2</v>
      </c>
      <c r="M139">
        <f>Cleaned_Data[[#This Row],[24h Change (%)]]*7</f>
        <v>0.18479999999999999</v>
      </c>
      <c r="N139" t="str" cm="1">
        <f t="array" ref="N139">_xlfn.IFS(Cleaned_Data[[#This Row],[Price (USD)]]&lt;0.05,"0 - 0.05",Cleaned_Data[[#This Row],[Price (USD)]]&lt;0.5,"0.05 - 0.5",Cleaned_Data[[#This Row],[Price (USD)]]&lt;5,"0.5 - 5",Cleaned_Data[[#This Row],[Price (USD)]]&lt;50,"5 - 50",Cleaned_Data[[#This Row],[Price (USD)]]&gt;=50,"&gt; 50")</f>
        <v>0 - 0.05</v>
      </c>
      <c r="O139">
        <f>(Cleaned_Data[[#This Row],[1h Change (%)]]+Cleaned_Data[[#This Row],[24h Change (%)]]+Cleaned_Data[[#This Row],[7d Change (%)]])/3</f>
        <v>7.0766666666666658E-2</v>
      </c>
      <c r="P139">
        <f>Cleaned_Data[[#This Row],[Price (USD)]]/(1+Cleaned_Data[[#This Row],[1h Change (%)]]/100)</f>
        <v>5.8999351007138923E-3</v>
      </c>
      <c r="Q139">
        <f>Cleaned_Data[[#This Row],[Price (USD)]]/(1-Cleaned_Data[[#This Row],[24h Change (%)]]/100)</f>
        <v>5.9015580113149875E-3</v>
      </c>
      <c r="R139">
        <f>Cleaned_Data[[#This Row],[Price (USD)]]/(1+Cleaned_Data[[#This Row],[7d Change (%)]]/100)</f>
        <v>5.8891169119467219E-3</v>
      </c>
      <c r="S139">
        <f>Cleaned_Data[[#This Row],[Price (USD)]]-Cleaned_Data[[#This Row],[1-Hour Before Price]]</f>
        <v>6.4899286107526766E-8</v>
      </c>
    </row>
    <row r="140" spans="1:19" x14ac:dyDescent="0.3">
      <c r="A140" t="s">
        <v>908</v>
      </c>
      <c r="B140" t="s">
        <v>909</v>
      </c>
      <c r="C140">
        <v>1.12E-2</v>
      </c>
      <c r="D140">
        <v>2.9399999999999999E-2</v>
      </c>
      <c r="E140">
        <v>5289262</v>
      </c>
      <c r="F140">
        <v>30255</v>
      </c>
      <c r="G140" t="s">
        <v>914</v>
      </c>
      <c r="H140">
        <v>471000000</v>
      </c>
      <c r="I140">
        <f>Cleaned_Data[[#This Row],[Volume (24h) USD]]/Cleaned_Data[[#This Row],[Circulating_Supply($)]]</f>
        <v>6.4235668789808917E-5</v>
      </c>
      <c r="J140">
        <f>RANK(Cleaned_Data[[#This Row],[Market Cap]],Cleaned_Data[Market Cap],0)</f>
        <v>139</v>
      </c>
      <c r="K140" t="str">
        <f t="shared" si="4"/>
        <v>0-0.5</v>
      </c>
      <c r="L140">
        <f>Cleaned_Data[[#This Row],[1h Change (%)]]*24</f>
        <v>0.7056</v>
      </c>
      <c r="M140">
        <f>Cleaned_Data[[#This Row],[24h Change (%)]]*7</f>
        <v>4.9391999999999996</v>
      </c>
      <c r="N140" t="str" cm="1">
        <f t="array" ref="N140">_xlfn.IFS(Cleaned_Data[[#This Row],[Price (USD)]]&lt;0.05,"0 - 0.05",Cleaned_Data[[#This Row],[Price (USD)]]&lt;0.5,"0.05 - 0.5",Cleaned_Data[[#This Row],[Price (USD)]]&lt;5,"0.5 - 5",Cleaned_Data[[#This Row],[Price (USD)]]&lt;50,"5 - 50",Cleaned_Data[[#This Row],[Price (USD)]]&gt;=50,"&gt; 50")</f>
        <v>0 - 0.05</v>
      </c>
      <c r="O140">
        <f>(Cleaned_Data[[#This Row],[1h Change (%)]]+Cleaned_Data[[#This Row],[24h Change (%)]]+Cleaned_Data[[#This Row],[7d Change (%)]])/3</f>
        <v>1.8914</v>
      </c>
      <c r="P140">
        <f>Cleaned_Data[[#This Row],[Price (USD)]]/(1+Cleaned_Data[[#This Row],[1h Change (%)]]/100)</f>
        <v>1.1196708167798667E-2</v>
      </c>
      <c r="Q140">
        <f>Cleaned_Data[[#This Row],[Price (USD)]]/(1-Cleaned_Data[[#This Row],[24h Change (%)]]/100)</f>
        <v>1.1279588778420535E-2</v>
      </c>
      <c r="R140">
        <f>Cleaned_Data[[#This Row],[Price (USD)]]/(1+Cleaned_Data[[#This Row],[7d Change (%)]]/100)</f>
        <v>1.0672846753167547E-2</v>
      </c>
      <c r="S140">
        <f>Cleaned_Data[[#This Row],[Price (USD)]]-Cleaned_Data[[#This Row],[1-Hour Before Price]]</f>
        <v>3.2918322013329032E-6</v>
      </c>
    </row>
    <row r="141" spans="1:19" x14ac:dyDescent="0.3">
      <c r="A141" t="s">
        <v>915</v>
      </c>
      <c r="B141" t="s">
        <v>916</v>
      </c>
      <c r="C141">
        <v>5.79E-2</v>
      </c>
      <c r="D141">
        <v>8.9999999999999998E-4</v>
      </c>
      <c r="E141">
        <v>5279826</v>
      </c>
      <c r="F141">
        <v>1013267</v>
      </c>
      <c r="G141" t="s">
        <v>920</v>
      </c>
      <c r="H141">
        <v>91220000</v>
      </c>
      <c r="I141">
        <f>Cleaned_Data[[#This Row],[Volume (24h) USD]]/Cleaned_Data[[#This Row],[Circulating_Supply($)]]</f>
        <v>1.1107947818460863E-2</v>
      </c>
      <c r="J141">
        <f>RANK(Cleaned_Data[[#This Row],[Market Cap]],Cleaned_Data[Market Cap],0)</f>
        <v>140</v>
      </c>
      <c r="K141" t="str">
        <f t="shared" si="4"/>
        <v>0-0.5</v>
      </c>
      <c r="L141">
        <f>Cleaned_Data[[#This Row],[1h Change (%)]]*24</f>
        <v>2.1600000000000001E-2</v>
      </c>
      <c r="M141">
        <f>Cleaned_Data[[#This Row],[24h Change (%)]]*7</f>
        <v>0.1512</v>
      </c>
      <c r="N141" t="str" cm="1">
        <f t="array" ref="N141">_xlfn.IFS(Cleaned_Data[[#This Row],[Price (USD)]]&lt;0.05,"0 - 0.05",Cleaned_Data[[#This Row],[Price (USD)]]&lt;0.5,"0.05 - 0.5",Cleaned_Data[[#This Row],[Price (USD)]]&lt;5,"0.5 - 5",Cleaned_Data[[#This Row],[Price (USD)]]&lt;50,"5 - 50",Cleaned_Data[[#This Row],[Price (USD)]]&gt;=50,"&gt; 50")</f>
        <v>0.05 - 0.5</v>
      </c>
      <c r="O141">
        <f>(Cleaned_Data[[#This Row],[1h Change (%)]]+Cleaned_Data[[#This Row],[24h Change (%)]]+Cleaned_Data[[#This Row],[7d Change (%)]])/3</f>
        <v>5.79E-2</v>
      </c>
      <c r="P141">
        <f>Cleaned_Data[[#This Row],[Price (USD)]]/(1+Cleaned_Data[[#This Row],[1h Change (%)]]/100)</f>
        <v>5.7899478904689862E-2</v>
      </c>
      <c r="Q141">
        <f>Cleaned_Data[[#This Row],[Price (USD)]]/(1-Cleaned_Data[[#This Row],[24h Change (%)]]/100)</f>
        <v>5.7912509101966027E-2</v>
      </c>
      <c r="R141">
        <f>Cleaned_Data[[#This Row],[Price (USD)]]/(1+Cleaned_Data[[#This Row],[7d Change (%)]]/100)</f>
        <v>5.7812587367899737E-2</v>
      </c>
      <c r="S141">
        <f>Cleaned_Data[[#This Row],[Price (USD)]]-Cleaned_Data[[#This Row],[1-Hour Before Price]]</f>
        <v>5.2109531013810884E-7</v>
      </c>
    </row>
    <row r="142" spans="1:19" x14ac:dyDescent="0.3">
      <c r="A142" t="s">
        <v>921</v>
      </c>
      <c r="B142" t="s">
        <v>921</v>
      </c>
      <c r="C142">
        <v>6.9500000000000006E-2</v>
      </c>
      <c r="D142">
        <v>3.2000000000000002E-3</v>
      </c>
      <c r="E142">
        <v>5273359</v>
      </c>
      <c r="F142">
        <v>846710</v>
      </c>
      <c r="G142" t="s">
        <v>925</v>
      </c>
      <c r="H142">
        <v>75910000</v>
      </c>
      <c r="I142">
        <f>Cleaned_Data[[#This Row],[Volume (24h) USD]]/Cleaned_Data[[#This Row],[Circulating_Supply($)]]</f>
        <v>1.1154129890659992E-2</v>
      </c>
      <c r="J142">
        <f>RANK(Cleaned_Data[[#This Row],[Market Cap]],Cleaned_Data[Market Cap],0)</f>
        <v>141</v>
      </c>
      <c r="K142" t="str">
        <f t="shared" si="4"/>
        <v>0-0.5</v>
      </c>
      <c r="L142">
        <f>Cleaned_Data[[#This Row],[1h Change (%)]]*24</f>
        <v>7.6800000000000007E-2</v>
      </c>
      <c r="M142">
        <f>Cleaned_Data[[#This Row],[24h Change (%)]]*7</f>
        <v>0.53760000000000008</v>
      </c>
      <c r="N142" t="str" cm="1">
        <f t="array" ref="N142">_xlfn.IFS(Cleaned_Data[[#This Row],[Price (USD)]]&lt;0.05,"0 - 0.05",Cleaned_Data[[#This Row],[Price (USD)]]&lt;0.5,"0.05 - 0.5",Cleaned_Data[[#This Row],[Price (USD)]]&lt;5,"0.5 - 5",Cleaned_Data[[#This Row],[Price (USD)]]&lt;50,"5 - 50",Cleaned_Data[[#This Row],[Price (USD)]]&gt;=50,"&gt; 50")</f>
        <v>0.05 - 0.5</v>
      </c>
      <c r="O142">
        <f>(Cleaned_Data[[#This Row],[1h Change (%)]]+Cleaned_Data[[#This Row],[24h Change (%)]]+Cleaned_Data[[#This Row],[7d Change (%)]])/3</f>
        <v>0.20586666666666667</v>
      </c>
      <c r="P142">
        <f>Cleaned_Data[[#This Row],[Price (USD)]]/(1+Cleaned_Data[[#This Row],[1h Change (%)]]/100)</f>
        <v>6.9497776071165723E-2</v>
      </c>
      <c r="Q142">
        <f>Cleaned_Data[[#This Row],[Price (USD)]]/(1-Cleaned_Data[[#This Row],[24h Change (%)]]/100)</f>
        <v>6.9553417024274644E-2</v>
      </c>
      <c r="R142">
        <f>Cleaned_Data[[#This Row],[Price (USD)]]/(1+Cleaned_Data[[#This Row],[7d Change (%)]]/100)</f>
        <v>6.9128365904895281E-2</v>
      </c>
      <c r="S142">
        <f>Cleaned_Data[[#This Row],[Price (USD)]]-Cleaned_Data[[#This Row],[1-Hour Before Price]]</f>
        <v>2.2239288342829067E-6</v>
      </c>
    </row>
    <row r="143" spans="1:19" x14ac:dyDescent="0.3">
      <c r="A143" t="s">
        <v>926</v>
      </c>
      <c r="B143" t="s">
        <v>927</v>
      </c>
      <c r="C143">
        <v>9.06</v>
      </c>
      <c r="D143">
        <v>1.1900000000000001E-2</v>
      </c>
      <c r="E143">
        <v>5254151</v>
      </c>
      <c r="F143">
        <v>27503</v>
      </c>
      <c r="G143" t="s">
        <v>931</v>
      </c>
      <c r="H143">
        <v>579840</v>
      </c>
      <c r="I143">
        <f>Cleaned_Data[[#This Row],[Volume (24h) USD]]/Cleaned_Data[[#This Row],[Circulating_Supply($)]]</f>
        <v>4.7432050220750553E-2</v>
      </c>
      <c r="J143">
        <f>RANK(Cleaned_Data[[#This Row],[Market Cap]],Cleaned_Data[Market Cap],0)</f>
        <v>142</v>
      </c>
      <c r="K143" t="str">
        <f t="shared" si="4"/>
        <v>2-10</v>
      </c>
      <c r="L143">
        <f>Cleaned_Data[[#This Row],[1h Change (%)]]*24</f>
        <v>0.28560000000000002</v>
      </c>
      <c r="M143">
        <f>Cleaned_Data[[#This Row],[24h Change (%)]]*7</f>
        <v>1.9992000000000001</v>
      </c>
      <c r="N143" t="str" cm="1">
        <f t="array" ref="N143">_xlfn.IFS(Cleaned_Data[[#This Row],[Price (USD)]]&lt;0.05,"0 - 0.05",Cleaned_Data[[#This Row],[Price (USD)]]&lt;0.5,"0.05 - 0.5",Cleaned_Data[[#This Row],[Price (USD)]]&lt;5,"0.5 - 5",Cleaned_Data[[#This Row],[Price (USD)]]&lt;50,"5 - 50",Cleaned_Data[[#This Row],[Price (USD)]]&gt;=50,"&gt; 50")</f>
        <v>5 - 50</v>
      </c>
      <c r="O143">
        <f>(Cleaned_Data[[#This Row],[1h Change (%)]]+Cleaned_Data[[#This Row],[24h Change (%)]]+Cleaned_Data[[#This Row],[7d Change (%)]])/3</f>
        <v>0.76556666666666662</v>
      </c>
      <c r="P143">
        <f>Cleaned_Data[[#This Row],[Price (USD)]]/(1+Cleaned_Data[[#This Row],[1h Change (%)]]/100)</f>
        <v>9.0589219882833945</v>
      </c>
      <c r="Q143">
        <f>Cleaned_Data[[#This Row],[Price (USD)]]/(1-Cleaned_Data[[#This Row],[24h Change (%)]]/100)</f>
        <v>9.0859494716911495</v>
      </c>
      <c r="R143">
        <f>Cleaned_Data[[#This Row],[Price (USD)]]/(1+Cleaned_Data[[#This Row],[7d Change (%)]]/100)</f>
        <v>8.8824226072361352</v>
      </c>
      <c r="S143">
        <f>Cleaned_Data[[#This Row],[Price (USD)]]-Cleaned_Data[[#This Row],[1-Hour Before Price]]</f>
        <v>1.0780117166060421E-3</v>
      </c>
    </row>
    <row r="144" spans="1:19" x14ac:dyDescent="0.3">
      <c r="A144" t="s">
        <v>932</v>
      </c>
      <c r="B144" t="s">
        <v>933</v>
      </c>
      <c r="C144">
        <v>0.30370000000000003</v>
      </c>
      <c r="D144">
        <v>1.1900000000000001E-2</v>
      </c>
      <c r="E144">
        <v>5249160</v>
      </c>
      <c r="F144">
        <v>64548</v>
      </c>
      <c r="G144" t="s">
        <v>937</v>
      </c>
      <c r="H144">
        <v>17270000</v>
      </c>
      <c r="I144">
        <f>Cleaned_Data[[#This Row],[Volume (24h) USD]]/Cleaned_Data[[#This Row],[Circulating_Supply($)]]</f>
        <v>3.7375796178343947E-3</v>
      </c>
      <c r="J144">
        <f>RANK(Cleaned_Data[[#This Row],[Market Cap]],Cleaned_Data[Market Cap],0)</f>
        <v>143</v>
      </c>
      <c r="K144" t="str">
        <f t="shared" si="4"/>
        <v>0-0.5</v>
      </c>
      <c r="L144">
        <f>Cleaned_Data[[#This Row],[1h Change (%)]]*24</f>
        <v>0.28560000000000002</v>
      </c>
      <c r="M144">
        <f>Cleaned_Data[[#This Row],[24h Change (%)]]*7</f>
        <v>1.9992000000000001</v>
      </c>
      <c r="N144" t="str" cm="1">
        <f t="array" ref="N144">_xlfn.IFS(Cleaned_Data[[#This Row],[Price (USD)]]&lt;0.05,"0 - 0.05",Cleaned_Data[[#This Row],[Price (USD)]]&lt;0.5,"0.05 - 0.5",Cleaned_Data[[#This Row],[Price (USD)]]&lt;5,"0.5 - 5",Cleaned_Data[[#This Row],[Price (USD)]]&lt;50,"5 - 50",Cleaned_Data[[#This Row],[Price (USD)]]&gt;=50,"&gt; 50")</f>
        <v>0.05 - 0.5</v>
      </c>
      <c r="O144">
        <f>(Cleaned_Data[[#This Row],[1h Change (%)]]+Cleaned_Data[[#This Row],[24h Change (%)]]+Cleaned_Data[[#This Row],[7d Change (%)]])/3</f>
        <v>0.76556666666666662</v>
      </c>
      <c r="P144">
        <f>Cleaned_Data[[#This Row],[Price (USD)]]/(1+Cleaned_Data[[#This Row],[1h Change (%)]]/100)</f>
        <v>0.30366386400018403</v>
      </c>
      <c r="Q144">
        <f>Cleaned_Data[[#This Row],[Price (USD)]]/(1-Cleaned_Data[[#This Row],[24h Change (%)]]/100)</f>
        <v>0.30456985149587223</v>
      </c>
      <c r="R144">
        <f>Cleaned_Data[[#This Row],[Price (USD)]]/(1+Cleaned_Data[[#This Row],[7d Change (%)]]/100)</f>
        <v>0.29774743331320247</v>
      </c>
      <c r="S144">
        <f>Cleaned_Data[[#This Row],[Price (USD)]]-Cleaned_Data[[#This Row],[1-Hour Before Price]]</f>
        <v>3.6135999816000464E-5</v>
      </c>
    </row>
    <row r="145" spans="1:19" x14ac:dyDescent="0.3">
      <c r="A145" t="s">
        <v>938</v>
      </c>
      <c r="B145" t="s">
        <v>939</v>
      </c>
      <c r="C145">
        <v>5.1999999999999998E-3</v>
      </c>
      <c r="D145">
        <v>9.1000000000000004E-3</v>
      </c>
      <c r="E145">
        <v>5236511</v>
      </c>
      <c r="F145">
        <v>2582102</v>
      </c>
      <c r="G145" t="s">
        <v>944</v>
      </c>
      <c r="H145">
        <v>999680000</v>
      </c>
      <c r="I145">
        <f>Cleaned_Data[[#This Row],[Volume (24h) USD]]/Cleaned_Data[[#This Row],[Circulating_Supply($)]]</f>
        <v>2.5829285371318823E-3</v>
      </c>
      <c r="J145">
        <f>RANK(Cleaned_Data[[#This Row],[Market Cap]],Cleaned_Data[Market Cap],0)</f>
        <v>144</v>
      </c>
      <c r="K145" t="str">
        <f t="shared" si="4"/>
        <v>0-0.5</v>
      </c>
      <c r="L145">
        <f>Cleaned_Data[[#This Row],[1h Change (%)]]*24</f>
        <v>0.21840000000000001</v>
      </c>
      <c r="M145">
        <f>Cleaned_Data[[#This Row],[24h Change (%)]]*7</f>
        <v>1.5288000000000002</v>
      </c>
      <c r="N145" t="str" cm="1">
        <f t="array" ref="N145">_xlfn.IFS(Cleaned_Data[[#This Row],[Price (USD)]]&lt;0.05,"0 - 0.05",Cleaned_Data[[#This Row],[Price (USD)]]&lt;0.5,"0.05 - 0.5",Cleaned_Data[[#This Row],[Price (USD)]]&lt;5,"0.5 - 5",Cleaned_Data[[#This Row],[Price (USD)]]&lt;50,"5 - 50",Cleaned_Data[[#This Row],[Price (USD)]]&gt;=50,"&gt; 50")</f>
        <v>0 - 0.05</v>
      </c>
      <c r="O145">
        <f>(Cleaned_Data[[#This Row],[1h Change (%)]]+Cleaned_Data[[#This Row],[24h Change (%)]]+Cleaned_Data[[#This Row],[7d Change (%)]])/3</f>
        <v>0.58543333333333336</v>
      </c>
      <c r="P145">
        <f>Cleaned_Data[[#This Row],[Price (USD)]]/(1+Cleaned_Data[[#This Row],[1h Change (%)]]/100)</f>
        <v>5.1995268430572814E-3</v>
      </c>
      <c r="Q145">
        <f>Cleaned_Data[[#This Row],[Price (USD)]]/(1-Cleaned_Data[[#This Row],[24h Change (%)]]/100)</f>
        <v>5.2113816575400668E-3</v>
      </c>
      <c r="R145">
        <f>Cleaned_Data[[#This Row],[Price (USD)]]/(1+Cleaned_Data[[#This Row],[7d Change (%)]]/100)</f>
        <v>5.1216994586757644E-3</v>
      </c>
      <c r="S145">
        <f>Cleaned_Data[[#This Row],[Price (USD)]]-Cleaned_Data[[#This Row],[1-Hour Before Price]]</f>
        <v>4.731569427183363E-7</v>
      </c>
    </row>
    <row r="146" spans="1:19" x14ac:dyDescent="0.3">
      <c r="A146" t="s">
        <v>945</v>
      </c>
      <c r="B146" t="s">
        <v>946</v>
      </c>
      <c r="C146">
        <v>2.4400000000000002E-2</v>
      </c>
      <c r="D146">
        <v>2.9999999999999997E-4</v>
      </c>
      <c r="E146">
        <v>5209385</v>
      </c>
      <c r="F146">
        <v>289972</v>
      </c>
      <c r="G146" t="s">
        <v>950</v>
      </c>
      <c r="H146">
        <v>213090000</v>
      </c>
      <c r="I146">
        <f>Cleaned_Data[[#This Row],[Volume (24h) USD]]/Cleaned_Data[[#This Row],[Circulating_Supply($)]]</f>
        <v>1.3607959078323713E-3</v>
      </c>
      <c r="J146">
        <f>RANK(Cleaned_Data[[#This Row],[Market Cap]],Cleaned_Data[Market Cap],0)</f>
        <v>145</v>
      </c>
      <c r="K146" t="str">
        <f t="shared" si="4"/>
        <v>0-0.5</v>
      </c>
      <c r="L146">
        <f>Cleaned_Data[[#This Row],[1h Change (%)]]*24</f>
        <v>7.1999999999999998E-3</v>
      </c>
      <c r="M146">
        <f>Cleaned_Data[[#This Row],[24h Change (%)]]*7</f>
        <v>5.04E-2</v>
      </c>
      <c r="N146" t="str" cm="1">
        <f t="array" ref="N146">_xlfn.IFS(Cleaned_Data[[#This Row],[Price (USD)]]&lt;0.05,"0 - 0.05",Cleaned_Data[[#This Row],[Price (USD)]]&lt;0.5,"0.05 - 0.5",Cleaned_Data[[#This Row],[Price (USD)]]&lt;5,"0.5 - 5",Cleaned_Data[[#This Row],[Price (USD)]]&lt;50,"5 - 50",Cleaned_Data[[#This Row],[Price (USD)]]&gt;=50,"&gt; 50")</f>
        <v>0 - 0.05</v>
      </c>
      <c r="O146">
        <f>(Cleaned_Data[[#This Row],[1h Change (%)]]+Cleaned_Data[[#This Row],[24h Change (%)]]+Cleaned_Data[[#This Row],[7d Change (%)]])/3</f>
        <v>1.9300000000000001E-2</v>
      </c>
      <c r="P146">
        <f>Cleaned_Data[[#This Row],[Price (USD)]]/(1+Cleaned_Data[[#This Row],[1h Change (%)]]/100)</f>
        <v>2.4399926800219601E-2</v>
      </c>
      <c r="Q146">
        <f>Cleaned_Data[[#This Row],[Price (USD)]]/(1-Cleaned_Data[[#This Row],[24h Change (%)]]/100)</f>
        <v>2.4401756926498708E-2</v>
      </c>
      <c r="R146">
        <f>Cleaned_Data[[#This Row],[Price (USD)]]/(1+Cleaned_Data[[#This Row],[7d Change (%)]]/100)</f>
        <v>2.4387708594868187E-2</v>
      </c>
      <c r="S146">
        <f>Cleaned_Data[[#This Row],[Price (USD)]]-Cleaned_Data[[#This Row],[1-Hour Before Price]]</f>
        <v>7.3199780400295955E-8</v>
      </c>
    </row>
    <row r="147" spans="1:19" x14ac:dyDescent="0.3">
      <c r="A147" t="s">
        <v>951</v>
      </c>
      <c r="B147" t="s">
        <v>952</v>
      </c>
      <c r="C147">
        <v>8.4400000000000003E-2</v>
      </c>
      <c r="D147">
        <v>1.3299999999999999E-2</v>
      </c>
      <c r="E147">
        <v>4203318</v>
      </c>
      <c r="F147">
        <v>369327</v>
      </c>
      <c r="G147" t="s">
        <v>957</v>
      </c>
      <c r="H147">
        <v>960420000000000</v>
      </c>
      <c r="I147">
        <f>Cleaned_Data[[#This Row],[Volume (24h) USD]]/Cleaned_Data[[#This Row],[Circulating_Supply($)]]</f>
        <v>3.8454738551883551E-10</v>
      </c>
      <c r="J147">
        <f>RANK(Cleaned_Data[[#This Row],[Market Cap]],Cleaned_Data[Market Cap],0)</f>
        <v>146</v>
      </c>
      <c r="K147" t="str">
        <f t="shared" si="4"/>
        <v>0-0.5</v>
      </c>
      <c r="L147">
        <f>Cleaned_Data[[#This Row],[1h Change (%)]]*24</f>
        <v>0.31919999999999998</v>
      </c>
      <c r="M147">
        <f>Cleaned_Data[[#This Row],[24h Change (%)]]*7</f>
        <v>2.2343999999999999</v>
      </c>
      <c r="N147" t="str" cm="1">
        <f t="array" ref="N147">_xlfn.IFS(Cleaned_Data[[#This Row],[Price (USD)]]&lt;0.05,"0 - 0.05",Cleaned_Data[[#This Row],[Price (USD)]]&lt;0.5,"0.05 - 0.5",Cleaned_Data[[#This Row],[Price (USD)]]&lt;5,"0.5 - 5",Cleaned_Data[[#This Row],[Price (USD)]]&lt;50,"5 - 50",Cleaned_Data[[#This Row],[Price (USD)]]&gt;=50,"&gt; 50")</f>
        <v>0.05 - 0.5</v>
      </c>
      <c r="O147">
        <f>(Cleaned_Data[[#This Row],[1h Change (%)]]+Cleaned_Data[[#This Row],[24h Change (%)]]+Cleaned_Data[[#This Row],[7d Change (%)]])/3</f>
        <v>0.85563333333333336</v>
      </c>
      <c r="P147">
        <f>Cleaned_Data[[#This Row],[Price (USD)]]/(1+Cleaned_Data[[#This Row],[1h Change (%)]]/100)</f>
        <v>8.438877629275307E-2</v>
      </c>
      <c r="Q147">
        <f>Cleaned_Data[[#This Row],[Price (USD)]]/(1-Cleaned_Data[[#This Row],[24h Change (%)]]/100)</f>
        <v>8.4670267493840337E-2</v>
      </c>
      <c r="R147">
        <f>Cleaned_Data[[#This Row],[Price (USD)]]/(1+Cleaned_Data[[#This Row],[7d Change (%)]]/100)</f>
        <v>8.2555382532689597E-2</v>
      </c>
      <c r="S147">
        <f>Cleaned_Data[[#This Row],[Price (USD)]]-Cleaned_Data[[#This Row],[1-Hour Before Price]]</f>
        <v>1.1223707246932335E-5</v>
      </c>
    </row>
    <row r="148" spans="1:19" x14ac:dyDescent="0.3">
      <c r="A148" t="s">
        <v>968</v>
      </c>
      <c r="B148" t="s">
        <v>969</v>
      </c>
      <c r="C148">
        <v>6.9999999999999999E-4</v>
      </c>
      <c r="D148">
        <v>3.6900000000000002E-2</v>
      </c>
      <c r="E148">
        <v>4174785</v>
      </c>
      <c r="F148">
        <v>10230683</v>
      </c>
      <c r="G148" t="s">
        <v>974</v>
      </c>
      <c r="H148">
        <v>6000000000</v>
      </c>
      <c r="I148">
        <f>Cleaned_Data[[#This Row],[Volume (24h) USD]]/Cleaned_Data[[#This Row],[Circulating_Supply($)]]</f>
        <v>1.7051138333333334E-3</v>
      </c>
      <c r="J148">
        <f>RANK(Cleaned_Data[[#This Row],[Market Cap]],Cleaned_Data[Market Cap],0)</f>
        <v>147</v>
      </c>
      <c r="K148" t="str">
        <f t="shared" si="4"/>
        <v>0-0.5</v>
      </c>
      <c r="L148">
        <f>Cleaned_Data[[#This Row],[1h Change (%)]]*24</f>
        <v>0.88560000000000005</v>
      </c>
      <c r="M148">
        <f>Cleaned_Data[[#This Row],[24h Change (%)]]*7</f>
        <v>6.1992000000000003</v>
      </c>
      <c r="N148" t="str" cm="1">
        <f t="array" ref="N148">_xlfn.IFS(Cleaned_Data[[#This Row],[Price (USD)]]&lt;0.05,"0 - 0.05",Cleaned_Data[[#This Row],[Price (USD)]]&lt;0.5,"0.05 - 0.5",Cleaned_Data[[#This Row],[Price (USD)]]&lt;5,"0.5 - 5",Cleaned_Data[[#This Row],[Price (USD)]]&lt;50,"5 - 50",Cleaned_Data[[#This Row],[Price (USD)]]&gt;=50,"&gt; 50")</f>
        <v>0 - 0.05</v>
      </c>
      <c r="O148">
        <f>(Cleaned_Data[[#This Row],[1h Change (%)]]+Cleaned_Data[[#This Row],[24h Change (%)]]+Cleaned_Data[[#This Row],[7d Change (%)]])/3</f>
        <v>2.3739000000000003</v>
      </c>
      <c r="P148">
        <f>Cleaned_Data[[#This Row],[Price (USD)]]/(1+Cleaned_Data[[#This Row],[1h Change (%)]]/100)</f>
        <v>6.9974179527754253E-4</v>
      </c>
      <c r="Q148">
        <f>Cleaned_Data[[#This Row],[Price (USD)]]/(1-Cleaned_Data[[#This Row],[24h Change (%)]]/100)</f>
        <v>7.0625459065483918E-4</v>
      </c>
      <c r="R148">
        <f>Cleaned_Data[[#This Row],[Price (USD)]]/(1+Cleaned_Data[[#This Row],[7d Change (%)]]/100)</f>
        <v>6.5913867524425795E-4</v>
      </c>
      <c r="S148">
        <f>Cleaned_Data[[#This Row],[Price (USD)]]-Cleaned_Data[[#This Row],[1-Hour Before Price]]</f>
        <v>2.5820472245746164E-7</v>
      </c>
    </row>
    <row r="149" spans="1:19" x14ac:dyDescent="0.3">
      <c r="A149" t="s">
        <v>975</v>
      </c>
      <c r="B149" t="s">
        <v>976</v>
      </c>
      <c r="C149">
        <v>2.76E-2</v>
      </c>
      <c r="D149">
        <v>1E-3</v>
      </c>
      <c r="E149">
        <v>4163952</v>
      </c>
      <c r="F149">
        <v>96917</v>
      </c>
      <c r="G149" t="s">
        <v>980</v>
      </c>
      <c r="H149">
        <v>150750000</v>
      </c>
      <c r="I149">
        <f>Cleaned_Data[[#This Row],[Volume (24h) USD]]/Cleaned_Data[[#This Row],[Circulating_Supply($)]]</f>
        <v>6.4289883913764515E-4</v>
      </c>
      <c r="J149">
        <f>RANK(Cleaned_Data[[#This Row],[Market Cap]],Cleaned_Data[Market Cap],0)</f>
        <v>148</v>
      </c>
      <c r="K149" t="str">
        <f t="shared" si="4"/>
        <v>0-0.5</v>
      </c>
      <c r="L149">
        <f>Cleaned_Data[[#This Row],[1h Change (%)]]*24</f>
        <v>2.4E-2</v>
      </c>
      <c r="M149">
        <f>Cleaned_Data[[#This Row],[24h Change (%)]]*7</f>
        <v>0.16800000000000001</v>
      </c>
      <c r="N149" t="str" cm="1">
        <f t="array" ref="N149">_xlfn.IFS(Cleaned_Data[[#This Row],[Price (USD)]]&lt;0.05,"0 - 0.05",Cleaned_Data[[#This Row],[Price (USD)]]&lt;0.5,"0.05 - 0.5",Cleaned_Data[[#This Row],[Price (USD)]]&lt;5,"0.5 - 5",Cleaned_Data[[#This Row],[Price (USD)]]&lt;50,"5 - 50",Cleaned_Data[[#This Row],[Price (USD)]]&gt;=50,"&gt; 50")</f>
        <v>0 - 0.05</v>
      </c>
      <c r="O149">
        <f>(Cleaned_Data[[#This Row],[1h Change (%)]]+Cleaned_Data[[#This Row],[24h Change (%)]]+Cleaned_Data[[#This Row],[7d Change (%)]])/3</f>
        <v>6.433333333333334E-2</v>
      </c>
      <c r="P149">
        <f>Cleaned_Data[[#This Row],[Price (USD)]]/(1+Cleaned_Data[[#This Row],[1h Change (%)]]/100)</f>
        <v>2.7599724002759968E-2</v>
      </c>
      <c r="Q149">
        <f>Cleaned_Data[[#This Row],[Price (USD)]]/(1-Cleaned_Data[[#This Row],[24h Change (%)]]/100)</f>
        <v>2.7606625590141633E-2</v>
      </c>
      <c r="R149">
        <f>Cleaned_Data[[#This Row],[Price (USD)]]/(1+Cleaned_Data[[#This Row],[7d Change (%)]]/100)</f>
        <v>2.7553709767590449E-2</v>
      </c>
      <c r="S149">
        <f>Cleaned_Data[[#This Row],[Price (USD)]]-Cleaned_Data[[#This Row],[1-Hour Before Price]]</f>
        <v>2.7599724003110615E-7</v>
      </c>
    </row>
    <row r="150" spans="1:19" x14ac:dyDescent="0.3">
      <c r="A150" t="s">
        <v>981</v>
      </c>
      <c r="B150" t="s">
        <v>982</v>
      </c>
      <c r="C150">
        <v>3.8999999999999998E-3</v>
      </c>
      <c r="D150">
        <v>2.2000000000000001E-3</v>
      </c>
      <c r="E150">
        <v>4148747</v>
      </c>
      <c r="F150">
        <v>8766</v>
      </c>
      <c r="G150" t="s">
        <v>986</v>
      </c>
      <c r="H150">
        <v>1050000000</v>
      </c>
      <c r="I150">
        <f>Cleaned_Data[[#This Row],[Volume (24h) USD]]/Cleaned_Data[[#This Row],[Circulating_Supply($)]]</f>
        <v>8.348571428571428E-6</v>
      </c>
      <c r="J150">
        <f>RANK(Cleaned_Data[[#This Row],[Market Cap]],Cleaned_Data[Market Cap],0)</f>
        <v>149</v>
      </c>
      <c r="K150" t="str">
        <f t="shared" si="4"/>
        <v>0-0.5</v>
      </c>
      <c r="L150">
        <f>Cleaned_Data[[#This Row],[1h Change (%)]]*24</f>
        <v>5.28E-2</v>
      </c>
      <c r="M150">
        <f>Cleaned_Data[[#This Row],[24h Change (%)]]*7</f>
        <v>0.36959999999999998</v>
      </c>
      <c r="N150" t="str" cm="1">
        <f t="array" ref="N150">_xlfn.IFS(Cleaned_Data[[#This Row],[Price (USD)]]&lt;0.05,"0 - 0.05",Cleaned_Data[[#This Row],[Price (USD)]]&lt;0.5,"0.05 - 0.5",Cleaned_Data[[#This Row],[Price (USD)]]&lt;5,"0.5 - 5",Cleaned_Data[[#This Row],[Price (USD)]]&lt;50,"5 - 50",Cleaned_Data[[#This Row],[Price (USD)]]&gt;=50,"&gt; 50")</f>
        <v>0 - 0.05</v>
      </c>
      <c r="O150">
        <f>(Cleaned_Data[[#This Row],[1h Change (%)]]+Cleaned_Data[[#This Row],[24h Change (%)]]+Cleaned_Data[[#This Row],[7d Change (%)]])/3</f>
        <v>0.14153333333333332</v>
      </c>
      <c r="P150">
        <f>Cleaned_Data[[#This Row],[Price (USD)]]/(1+Cleaned_Data[[#This Row],[1h Change (%)]]/100)</f>
        <v>3.8999142018875583E-3</v>
      </c>
      <c r="Q150">
        <f>Cleaned_Data[[#This Row],[Price (USD)]]/(1-Cleaned_Data[[#This Row],[24h Change (%)]]/100)</f>
        <v>3.902060287831975E-3</v>
      </c>
      <c r="R150">
        <f>Cleaned_Data[[#This Row],[Price (USD)]]/(1+Cleaned_Data[[#This Row],[7d Change (%)]]/100)</f>
        <v>3.8856386794407869E-3</v>
      </c>
      <c r="S150">
        <f>Cleaned_Data[[#This Row],[Price (USD)]]-Cleaned_Data[[#This Row],[1-Hour Before Price]]</f>
        <v>8.5798112441515945E-8</v>
      </c>
    </row>
    <row r="151" spans="1:19" x14ac:dyDescent="0.3">
      <c r="A151" t="s">
        <v>991</v>
      </c>
      <c r="B151" t="s">
        <v>992</v>
      </c>
      <c r="C151">
        <v>0.20660000000000001</v>
      </c>
      <c r="D151">
        <v>9.7999999999999997E-3</v>
      </c>
      <c r="E151">
        <v>4140168</v>
      </c>
      <c r="F151">
        <v>106213</v>
      </c>
      <c r="G151" t="s">
        <v>997</v>
      </c>
      <c r="H151">
        <v>20030000</v>
      </c>
      <c r="I151">
        <f>Cleaned_Data[[#This Row],[Volume (24h) USD]]/Cleaned_Data[[#This Row],[Circulating_Supply($)]]</f>
        <v>5.3026959560659014E-3</v>
      </c>
      <c r="J151">
        <f>RANK(Cleaned_Data[[#This Row],[Market Cap]],Cleaned_Data[Market Cap],0)</f>
        <v>150</v>
      </c>
      <c r="K151" t="str">
        <f t="shared" si="4"/>
        <v>0-0.5</v>
      </c>
      <c r="L151">
        <f>Cleaned_Data[[#This Row],[1h Change (%)]]*24</f>
        <v>0.23519999999999999</v>
      </c>
      <c r="M151">
        <f>Cleaned_Data[[#This Row],[24h Change (%)]]*7</f>
        <v>1.6463999999999999</v>
      </c>
      <c r="N151" t="str" cm="1">
        <f t="array" ref="N151">_xlfn.IFS(Cleaned_Data[[#This Row],[Price (USD)]]&lt;0.05,"0 - 0.05",Cleaned_Data[[#This Row],[Price (USD)]]&lt;0.5,"0.05 - 0.5",Cleaned_Data[[#This Row],[Price (USD)]]&lt;5,"0.5 - 5",Cleaned_Data[[#This Row],[Price (USD)]]&lt;50,"5 - 50",Cleaned_Data[[#This Row],[Price (USD)]]&gt;=50,"&gt; 50")</f>
        <v>0.05 - 0.5</v>
      </c>
      <c r="O151">
        <f>(Cleaned_Data[[#This Row],[1h Change (%)]]+Cleaned_Data[[#This Row],[24h Change (%)]]+Cleaned_Data[[#This Row],[7d Change (%)]])/3</f>
        <v>0.63046666666666662</v>
      </c>
      <c r="P151">
        <f>Cleaned_Data[[#This Row],[Price (USD)]]/(1+Cleaned_Data[[#This Row],[1h Change (%)]]/100)</f>
        <v>0.20657975518399199</v>
      </c>
      <c r="Q151">
        <f>Cleaned_Data[[#This Row],[Price (USD)]]/(1-Cleaned_Data[[#This Row],[24h Change (%)]]/100)</f>
        <v>0.20708706878578417</v>
      </c>
      <c r="R151">
        <f>Cleaned_Data[[#This Row],[Price (USD)]]/(1+Cleaned_Data[[#This Row],[7d Change (%)]]/100)</f>
        <v>0.20325363219946796</v>
      </c>
      <c r="S151">
        <f>Cleaned_Data[[#This Row],[Price (USD)]]-Cleaned_Data[[#This Row],[1-Hour Before Price]]</f>
        <v>2.0244816008013755E-5</v>
      </c>
    </row>
    <row r="152" spans="1:19" x14ac:dyDescent="0.3">
      <c r="A152" t="s">
        <v>998</v>
      </c>
      <c r="B152" t="s">
        <v>999</v>
      </c>
      <c r="C152">
        <v>8.9999999999999998E-4</v>
      </c>
      <c r="D152">
        <v>2.9999999999999997E-4</v>
      </c>
      <c r="E152">
        <v>4138839</v>
      </c>
      <c r="F152">
        <v>847</v>
      </c>
      <c r="G152" t="s">
        <v>1003</v>
      </c>
      <c r="H152">
        <v>4370000000</v>
      </c>
      <c r="I152">
        <f>Cleaned_Data[[#This Row],[Volume (24h) USD]]/Cleaned_Data[[#This Row],[Circulating_Supply($)]]</f>
        <v>1.9382151029748284E-7</v>
      </c>
      <c r="J152">
        <f>RANK(Cleaned_Data[[#This Row],[Market Cap]],Cleaned_Data[Market Cap],0)</f>
        <v>151</v>
      </c>
      <c r="K152" t="str">
        <f t="shared" si="4"/>
        <v>0-0.5</v>
      </c>
      <c r="L152">
        <f>Cleaned_Data[[#This Row],[1h Change (%)]]*24</f>
        <v>7.1999999999999998E-3</v>
      </c>
      <c r="M152">
        <f>Cleaned_Data[[#This Row],[24h Change (%)]]*7</f>
        <v>5.04E-2</v>
      </c>
      <c r="N152" t="str" cm="1">
        <f t="array" ref="N152">_xlfn.IFS(Cleaned_Data[[#This Row],[Price (USD)]]&lt;0.05,"0 - 0.05",Cleaned_Data[[#This Row],[Price (USD)]]&lt;0.5,"0.05 - 0.5",Cleaned_Data[[#This Row],[Price (USD)]]&lt;5,"0.5 - 5",Cleaned_Data[[#This Row],[Price (USD)]]&lt;50,"5 - 50",Cleaned_Data[[#This Row],[Price (USD)]]&gt;=50,"&gt; 50")</f>
        <v>0 - 0.05</v>
      </c>
      <c r="O152">
        <f>(Cleaned_Data[[#This Row],[1h Change (%)]]+Cleaned_Data[[#This Row],[24h Change (%)]]+Cleaned_Data[[#This Row],[7d Change (%)]])/3</f>
        <v>1.9300000000000001E-2</v>
      </c>
      <c r="P152">
        <f>Cleaned_Data[[#This Row],[Price (USD)]]/(1+Cleaned_Data[[#This Row],[1h Change (%)]]/100)</f>
        <v>8.999973000081E-4</v>
      </c>
      <c r="Q152">
        <f>Cleaned_Data[[#This Row],[Price (USD)]]/(1-Cleaned_Data[[#This Row],[24h Change (%)]]/100)</f>
        <v>9.0006480466593589E-4</v>
      </c>
      <c r="R152">
        <f>Cleaned_Data[[#This Row],[Price (USD)]]/(1+Cleaned_Data[[#This Row],[7d Change (%)]]/100)</f>
        <v>8.9954662849923625E-4</v>
      </c>
      <c r="S152">
        <f>Cleaned_Data[[#This Row],[Price (USD)]]-Cleaned_Data[[#This Row],[1-Hour Before Price]]</f>
        <v>2.6999918999789235E-9</v>
      </c>
    </row>
    <row r="153" spans="1:19" x14ac:dyDescent="0.3">
      <c r="A153" t="s">
        <v>1004</v>
      </c>
      <c r="B153" t="s">
        <v>1005</v>
      </c>
      <c r="C153">
        <v>8.0000000000000004E-4</v>
      </c>
      <c r="D153">
        <v>6.8999999999999999E-3</v>
      </c>
      <c r="E153">
        <v>4130541</v>
      </c>
      <c r="F153">
        <v>355240</v>
      </c>
      <c r="G153" t="s">
        <v>1010</v>
      </c>
      <c r="H153">
        <v>5000000000</v>
      </c>
      <c r="I153">
        <f>Cleaned_Data[[#This Row],[Volume (24h) USD]]/Cleaned_Data[[#This Row],[Circulating_Supply($)]]</f>
        <v>7.1048000000000001E-5</v>
      </c>
      <c r="J153">
        <f>RANK(Cleaned_Data[[#This Row],[Market Cap]],Cleaned_Data[Market Cap],0)</f>
        <v>152</v>
      </c>
      <c r="K153" t="str">
        <f t="shared" si="4"/>
        <v>0-0.5</v>
      </c>
      <c r="L153">
        <f>Cleaned_Data[[#This Row],[1h Change (%)]]*24</f>
        <v>0.1656</v>
      </c>
      <c r="M153">
        <f>Cleaned_Data[[#This Row],[24h Change (%)]]*7</f>
        <v>1.1592</v>
      </c>
      <c r="N153" t="str" cm="1">
        <f t="array" ref="N153">_xlfn.IFS(Cleaned_Data[[#This Row],[Price (USD)]]&lt;0.05,"0 - 0.05",Cleaned_Data[[#This Row],[Price (USD)]]&lt;0.5,"0.05 - 0.5",Cleaned_Data[[#This Row],[Price (USD)]]&lt;5,"0.5 - 5",Cleaned_Data[[#This Row],[Price (USD)]]&lt;50,"5 - 50",Cleaned_Data[[#This Row],[Price (USD)]]&gt;=50,"&gt; 50")</f>
        <v>0 - 0.05</v>
      </c>
      <c r="O153">
        <f>(Cleaned_Data[[#This Row],[1h Change (%)]]+Cleaned_Data[[#This Row],[24h Change (%)]]+Cleaned_Data[[#This Row],[7d Change (%)]])/3</f>
        <v>0.44390000000000002</v>
      </c>
      <c r="P153">
        <f>Cleaned_Data[[#This Row],[Price (USD)]]/(1+Cleaned_Data[[#This Row],[1h Change (%)]]/100)</f>
        <v>7.9994480380853722E-4</v>
      </c>
      <c r="Q153">
        <f>Cleaned_Data[[#This Row],[Price (USD)]]/(1-Cleaned_Data[[#This Row],[24h Change (%)]]/100)</f>
        <v>8.0132699750787306E-4</v>
      </c>
      <c r="R153">
        <f>Cleaned_Data[[#This Row],[Price (USD)]]/(1+Cleaned_Data[[#This Row],[7d Change (%)]]/100)</f>
        <v>7.9083266771583802E-4</v>
      </c>
      <c r="S153">
        <f>Cleaned_Data[[#This Row],[Price (USD)]]-Cleaned_Data[[#This Row],[1-Hour Before Price]]</f>
        <v>5.5196191462813897E-8</v>
      </c>
    </row>
    <row r="154" spans="1:19" x14ac:dyDescent="0.3">
      <c r="A154" t="s">
        <v>1015</v>
      </c>
      <c r="B154" t="s">
        <v>1016</v>
      </c>
      <c r="C154">
        <v>0.16200000000000001</v>
      </c>
      <c r="D154">
        <v>2.7000000000000001E-3</v>
      </c>
      <c r="E154">
        <v>3346569</v>
      </c>
      <c r="F154">
        <v>331094</v>
      </c>
      <c r="G154" t="s">
        <v>1021</v>
      </c>
      <c r="H154">
        <v>20640000</v>
      </c>
      <c r="I154">
        <f>Cleaned_Data[[#This Row],[Volume (24h) USD]]/Cleaned_Data[[#This Row],[Circulating_Supply($)]]</f>
        <v>1.6041375968992248E-2</v>
      </c>
      <c r="J154">
        <f>RANK(Cleaned_Data[[#This Row],[Market Cap]],Cleaned_Data[Market Cap],0)</f>
        <v>153</v>
      </c>
      <c r="K154" t="str">
        <f t="shared" si="4"/>
        <v>0-0.5</v>
      </c>
      <c r="L154">
        <f>Cleaned_Data[[#This Row],[1h Change (%)]]*24</f>
        <v>6.4799999999999996E-2</v>
      </c>
      <c r="M154">
        <f>Cleaned_Data[[#This Row],[24h Change (%)]]*7</f>
        <v>0.4536</v>
      </c>
      <c r="N154" t="str" cm="1">
        <f t="array" ref="N154">_xlfn.IFS(Cleaned_Data[[#This Row],[Price (USD)]]&lt;0.05,"0 - 0.05",Cleaned_Data[[#This Row],[Price (USD)]]&lt;0.5,"0.05 - 0.5",Cleaned_Data[[#This Row],[Price (USD)]]&lt;5,"0.5 - 5",Cleaned_Data[[#This Row],[Price (USD)]]&lt;50,"5 - 50",Cleaned_Data[[#This Row],[Price (USD)]]&gt;=50,"&gt; 50")</f>
        <v>0.05 - 0.5</v>
      </c>
      <c r="O154">
        <f>(Cleaned_Data[[#This Row],[1h Change (%)]]+Cleaned_Data[[#This Row],[24h Change (%)]]+Cleaned_Data[[#This Row],[7d Change (%)]])/3</f>
        <v>0.17369999999999999</v>
      </c>
      <c r="P154">
        <f>Cleaned_Data[[#This Row],[Price (USD)]]/(1+Cleaned_Data[[#This Row],[1h Change (%)]]/100)</f>
        <v>0.16199562611809482</v>
      </c>
      <c r="Q154">
        <f>Cleaned_Data[[#This Row],[Price (USD)]]/(1-Cleaned_Data[[#This Row],[24h Change (%)]]/100)</f>
        <v>0.16210504406855641</v>
      </c>
      <c r="R154">
        <f>Cleaned_Data[[#This Row],[Price (USD)]]/(1+Cleaned_Data[[#This Row],[7d Change (%)]]/100)</f>
        <v>0.16126848614683792</v>
      </c>
      <c r="S154">
        <f>Cleaned_Data[[#This Row],[Price (USD)]]-Cleaned_Data[[#This Row],[1-Hour Before Price]]</f>
        <v>4.3738819051897249E-6</v>
      </c>
    </row>
    <row r="155" spans="1:19" x14ac:dyDescent="0.3">
      <c r="A155" t="s">
        <v>1022</v>
      </c>
      <c r="B155" t="s">
        <v>1023</v>
      </c>
      <c r="C155">
        <v>1.1999999999999999E-3</v>
      </c>
      <c r="D155">
        <v>5.4000000000000003E-3</v>
      </c>
      <c r="E155">
        <v>3339357</v>
      </c>
      <c r="F155">
        <v>18420</v>
      </c>
      <c r="G155" t="s">
        <v>1028</v>
      </c>
      <c r="H155">
        <v>2690000000</v>
      </c>
      <c r="I155">
        <f>Cleaned_Data[[#This Row],[Volume (24h) USD]]/Cleaned_Data[[#This Row],[Circulating_Supply($)]]</f>
        <v>6.847583643122677E-6</v>
      </c>
      <c r="J155">
        <f>RANK(Cleaned_Data[[#This Row],[Market Cap]],Cleaned_Data[Market Cap],0)</f>
        <v>154</v>
      </c>
      <c r="K155" t="str">
        <f t="shared" si="4"/>
        <v>0-0.5</v>
      </c>
      <c r="L155">
        <f>Cleaned_Data[[#This Row],[1h Change (%)]]*24</f>
        <v>0.12959999999999999</v>
      </c>
      <c r="M155">
        <f>Cleaned_Data[[#This Row],[24h Change (%)]]*7</f>
        <v>0.90720000000000001</v>
      </c>
      <c r="N155" t="str" cm="1">
        <f t="array" ref="N155">_xlfn.IFS(Cleaned_Data[[#This Row],[Price (USD)]]&lt;0.05,"0 - 0.05",Cleaned_Data[[#This Row],[Price (USD)]]&lt;0.5,"0.05 - 0.5",Cleaned_Data[[#This Row],[Price (USD)]]&lt;5,"0.5 - 5",Cleaned_Data[[#This Row],[Price (USD)]]&lt;50,"5 - 50",Cleaned_Data[[#This Row],[Price (USD)]]&gt;=50,"&gt; 50")</f>
        <v>0 - 0.05</v>
      </c>
      <c r="O155">
        <f>(Cleaned_Data[[#This Row],[1h Change (%)]]+Cleaned_Data[[#This Row],[24h Change (%)]]+Cleaned_Data[[#This Row],[7d Change (%)]])/3</f>
        <v>0.34739999999999999</v>
      </c>
      <c r="P155">
        <f>Cleaned_Data[[#This Row],[Price (USD)]]/(1+Cleaned_Data[[#This Row],[1h Change (%)]]/100)</f>
        <v>1.1999352034990109E-3</v>
      </c>
      <c r="Q155">
        <f>Cleaned_Data[[#This Row],[Price (USD)]]/(1-Cleaned_Data[[#This Row],[24h Change (%)]]/100)</f>
        <v>1.2015572181547285E-3</v>
      </c>
      <c r="R155">
        <f>Cleaned_Data[[#This Row],[Price (USD)]]/(1+Cleaned_Data[[#This Row],[7d Change (%)]]/100)</f>
        <v>1.1892114735122963E-3</v>
      </c>
      <c r="S155">
        <f>Cleaned_Data[[#This Row],[Price (USD)]]-Cleaned_Data[[#This Row],[1-Hour Before Price]]</f>
        <v>6.4796500989002664E-8</v>
      </c>
    </row>
    <row r="156" spans="1:19" x14ac:dyDescent="0.3">
      <c r="A156" t="s">
        <v>1029</v>
      </c>
      <c r="B156" t="s">
        <v>1029</v>
      </c>
      <c r="C156">
        <v>4.0000000000000002E-4</v>
      </c>
      <c r="D156">
        <v>9.5999999999999992E-3</v>
      </c>
      <c r="E156">
        <v>3333341</v>
      </c>
      <c r="F156">
        <v>1613699</v>
      </c>
      <c r="G156" t="s">
        <v>1034</v>
      </c>
      <c r="H156">
        <v>8289999999.999999</v>
      </c>
      <c r="I156">
        <f>Cleaned_Data[[#This Row],[Volume (24h) USD]]/Cleaned_Data[[#This Row],[Circulating_Supply($)]]</f>
        <v>1.9465609167671895E-4</v>
      </c>
      <c r="J156">
        <f>RANK(Cleaned_Data[[#This Row],[Market Cap]],Cleaned_Data[Market Cap],0)</f>
        <v>155</v>
      </c>
      <c r="K156" t="str">
        <f t="shared" si="4"/>
        <v>0-0.5</v>
      </c>
      <c r="L156">
        <f>Cleaned_Data[[#This Row],[1h Change (%)]]*24</f>
        <v>0.23039999999999999</v>
      </c>
      <c r="M156">
        <f>Cleaned_Data[[#This Row],[24h Change (%)]]*7</f>
        <v>1.6128</v>
      </c>
      <c r="N156" t="str" cm="1">
        <f t="array" ref="N156">_xlfn.IFS(Cleaned_Data[[#This Row],[Price (USD)]]&lt;0.05,"0 - 0.05",Cleaned_Data[[#This Row],[Price (USD)]]&lt;0.5,"0.05 - 0.5",Cleaned_Data[[#This Row],[Price (USD)]]&lt;5,"0.5 - 5",Cleaned_Data[[#This Row],[Price (USD)]]&lt;50,"5 - 50",Cleaned_Data[[#This Row],[Price (USD)]]&gt;=50,"&gt; 50")</f>
        <v>0 - 0.05</v>
      </c>
      <c r="O156">
        <f>(Cleaned_Data[[#This Row],[1h Change (%)]]+Cleaned_Data[[#This Row],[24h Change (%)]]+Cleaned_Data[[#This Row],[7d Change (%)]])/3</f>
        <v>0.61760000000000004</v>
      </c>
      <c r="P156">
        <f>Cleaned_Data[[#This Row],[Price (USD)]]/(1+Cleaned_Data[[#This Row],[1h Change (%)]]/100)</f>
        <v>3.9996160368604614E-4</v>
      </c>
      <c r="Q156">
        <f>Cleaned_Data[[#This Row],[Price (USD)]]/(1-Cleaned_Data[[#This Row],[24h Change (%)]]/100)</f>
        <v>4.0092372826993391E-4</v>
      </c>
      <c r="R156">
        <f>Cleaned_Data[[#This Row],[Price (USD)]]/(1+Cleaned_Data[[#This Row],[7d Change (%)]]/100)</f>
        <v>3.9365119355041887E-4</v>
      </c>
      <c r="S156">
        <f>Cleaned_Data[[#This Row],[Price (USD)]]-Cleaned_Data[[#This Row],[1-Hour Before Price]]</f>
        <v>3.8396313953878523E-8</v>
      </c>
    </row>
    <row r="157" spans="1:19" x14ac:dyDescent="0.3">
      <c r="A157" t="s">
        <v>1035</v>
      </c>
      <c r="B157" t="s">
        <v>1036</v>
      </c>
      <c r="C157">
        <v>5.3999999999999999E-2</v>
      </c>
      <c r="D157">
        <v>1.6000000000000001E-3</v>
      </c>
      <c r="E157">
        <v>3321989</v>
      </c>
      <c r="F157">
        <v>875780</v>
      </c>
      <c r="G157" t="s">
        <v>1040</v>
      </c>
      <c r="H157">
        <v>61460000</v>
      </c>
      <c r="I157">
        <f>Cleaned_Data[[#This Row],[Volume (24h) USD]]/Cleaned_Data[[#This Row],[Circulating_Supply($)]]</f>
        <v>1.4249593231369997E-2</v>
      </c>
      <c r="J157">
        <f>RANK(Cleaned_Data[[#This Row],[Market Cap]],Cleaned_Data[Market Cap],0)</f>
        <v>156</v>
      </c>
      <c r="K157" t="str">
        <f t="shared" si="4"/>
        <v>0-0.5</v>
      </c>
      <c r="L157">
        <f>Cleaned_Data[[#This Row],[1h Change (%)]]*24</f>
        <v>3.8400000000000004E-2</v>
      </c>
      <c r="M157">
        <f>Cleaned_Data[[#This Row],[24h Change (%)]]*7</f>
        <v>0.26880000000000004</v>
      </c>
      <c r="N157" t="str" cm="1">
        <f t="array" ref="N157">_xlfn.IFS(Cleaned_Data[[#This Row],[Price (USD)]]&lt;0.05,"0 - 0.05",Cleaned_Data[[#This Row],[Price (USD)]]&lt;0.5,"0.05 - 0.5",Cleaned_Data[[#This Row],[Price (USD)]]&lt;5,"0.5 - 5",Cleaned_Data[[#This Row],[Price (USD)]]&lt;50,"5 - 50",Cleaned_Data[[#This Row],[Price (USD)]]&gt;=50,"&gt; 50")</f>
        <v>0.05 - 0.5</v>
      </c>
      <c r="O157">
        <f>(Cleaned_Data[[#This Row],[1h Change (%)]]+Cleaned_Data[[#This Row],[24h Change (%)]]+Cleaned_Data[[#This Row],[7d Change (%)]])/3</f>
        <v>0.10293333333333334</v>
      </c>
      <c r="P157">
        <f>Cleaned_Data[[#This Row],[Price (USD)]]/(1+Cleaned_Data[[#This Row],[1h Change (%)]]/100)</f>
        <v>5.3999136013823779E-2</v>
      </c>
      <c r="Q157">
        <f>Cleaned_Data[[#This Row],[Price (USD)]]/(1-Cleaned_Data[[#This Row],[24h Change (%)]]/100)</f>
        <v>5.4020743965682821E-2</v>
      </c>
      <c r="R157">
        <f>Cleaned_Data[[#This Row],[Price (USD)]]/(1+Cleaned_Data[[#This Row],[7d Change (%)]]/100)</f>
        <v>5.3855237122614412E-2</v>
      </c>
      <c r="S157">
        <f>Cleaned_Data[[#This Row],[Price (USD)]]-Cleaned_Data[[#This Row],[1-Hour Before Price]]</f>
        <v>8.6398617622079898E-7</v>
      </c>
    </row>
    <row r="158" spans="1:19" x14ac:dyDescent="0.3">
      <c r="A158" t="s">
        <v>1041</v>
      </c>
      <c r="B158" t="s">
        <v>1042</v>
      </c>
      <c r="C158">
        <v>1.32E-2</v>
      </c>
      <c r="D158">
        <v>1.12E-2</v>
      </c>
      <c r="E158">
        <v>3318891</v>
      </c>
      <c r="F158">
        <v>2394175</v>
      </c>
      <c r="G158" t="s">
        <v>1047</v>
      </c>
      <c r="H158">
        <v>251340000</v>
      </c>
      <c r="I158">
        <f>Cleaned_Data[[#This Row],[Volume (24h) USD]]/Cleaned_Data[[#This Row],[Circulating_Supply($)]]</f>
        <v>9.5256425559003734E-3</v>
      </c>
      <c r="J158">
        <f>RANK(Cleaned_Data[[#This Row],[Market Cap]],Cleaned_Data[Market Cap],0)</f>
        <v>157</v>
      </c>
      <c r="K158" t="str">
        <f t="shared" si="4"/>
        <v>0-0.5</v>
      </c>
      <c r="L158">
        <f>Cleaned_Data[[#This Row],[1h Change (%)]]*24</f>
        <v>0.26879999999999998</v>
      </c>
      <c r="M158">
        <f>Cleaned_Data[[#This Row],[24h Change (%)]]*7</f>
        <v>1.8815999999999999</v>
      </c>
      <c r="N158" t="str" cm="1">
        <f t="array" ref="N158">_xlfn.IFS(Cleaned_Data[[#This Row],[Price (USD)]]&lt;0.05,"0 - 0.05",Cleaned_Data[[#This Row],[Price (USD)]]&lt;0.5,"0.05 - 0.5",Cleaned_Data[[#This Row],[Price (USD)]]&lt;5,"0.5 - 5",Cleaned_Data[[#This Row],[Price (USD)]]&lt;50,"5 - 50",Cleaned_Data[[#This Row],[Price (USD)]]&gt;=50,"&gt; 50")</f>
        <v>0 - 0.05</v>
      </c>
      <c r="O158">
        <f>(Cleaned_Data[[#This Row],[1h Change (%)]]+Cleaned_Data[[#This Row],[24h Change (%)]]+Cleaned_Data[[#This Row],[7d Change (%)]])/3</f>
        <v>0.72053333333333336</v>
      </c>
      <c r="P158">
        <f>Cleaned_Data[[#This Row],[Price (USD)]]/(1+Cleaned_Data[[#This Row],[1h Change (%)]]/100)</f>
        <v>1.3198521765562259E-2</v>
      </c>
      <c r="Q158">
        <f>Cleaned_Data[[#This Row],[Price (USD)]]/(1-Cleaned_Data[[#This Row],[24h Change (%)]]/100)</f>
        <v>1.3235577231598537E-2</v>
      </c>
      <c r="R158">
        <f>Cleaned_Data[[#This Row],[Price (USD)]]/(1+Cleaned_Data[[#This Row],[7d Change (%)]]/100)</f>
        <v>1.2956215842703688E-2</v>
      </c>
      <c r="S158">
        <f>Cleaned_Data[[#This Row],[Price (USD)]]-Cleaned_Data[[#This Row],[1-Hour Before Price]]</f>
        <v>1.4782344377409912E-6</v>
      </c>
    </row>
    <row r="159" spans="1:19" x14ac:dyDescent="0.3">
      <c r="A159" t="s">
        <v>1048</v>
      </c>
      <c r="B159" t="s">
        <v>1049</v>
      </c>
      <c r="C159">
        <v>4.1999999999999997E-3</v>
      </c>
      <c r="D159">
        <v>2.9999999999999997E-4</v>
      </c>
      <c r="E159">
        <v>3316153</v>
      </c>
      <c r="F159">
        <v>95553</v>
      </c>
      <c r="G159" t="s">
        <v>1053</v>
      </c>
      <c r="H159">
        <v>787400000</v>
      </c>
      <c r="I159">
        <f>Cleaned_Data[[#This Row],[Volume (24h) USD]]/Cleaned_Data[[#This Row],[Circulating_Supply($)]]</f>
        <v>1.2135255270510541E-4</v>
      </c>
      <c r="J159">
        <f>RANK(Cleaned_Data[[#This Row],[Market Cap]],Cleaned_Data[Market Cap],0)</f>
        <v>158</v>
      </c>
      <c r="K159" t="str">
        <f t="shared" si="4"/>
        <v>0-0.5</v>
      </c>
      <c r="L159">
        <f>Cleaned_Data[[#This Row],[1h Change (%)]]*24</f>
        <v>7.1999999999999998E-3</v>
      </c>
      <c r="M159">
        <f>Cleaned_Data[[#This Row],[24h Change (%)]]*7</f>
        <v>5.04E-2</v>
      </c>
      <c r="N159" t="str" cm="1">
        <f t="array" ref="N159">_xlfn.IFS(Cleaned_Data[[#This Row],[Price (USD)]]&lt;0.05,"0 - 0.05",Cleaned_Data[[#This Row],[Price (USD)]]&lt;0.5,"0.05 - 0.5",Cleaned_Data[[#This Row],[Price (USD)]]&lt;5,"0.5 - 5",Cleaned_Data[[#This Row],[Price (USD)]]&lt;50,"5 - 50",Cleaned_Data[[#This Row],[Price (USD)]]&gt;=50,"&gt; 50")</f>
        <v>0 - 0.05</v>
      </c>
      <c r="O159">
        <f>(Cleaned_Data[[#This Row],[1h Change (%)]]+Cleaned_Data[[#This Row],[24h Change (%)]]+Cleaned_Data[[#This Row],[7d Change (%)]])/3</f>
        <v>1.9300000000000001E-2</v>
      </c>
      <c r="P159">
        <f>Cleaned_Data[[#This Row],[Price (USD)]]/(1+Cleaned_Data[[#This Row],[1h Change (%)]]/100)</f>
        <v>4.1999874000377994E-3</v>
      </c>
      <c r="Q159">
        <f>Cleaned_Data[[#This Row],[Price (USD)]]/(1-Cleaned_Data[[#This Row],[24h Change (%)]]/100)</f>
        <v>4.2003024217743675E-3</v>
      </c>
      <c r="R159">
        <f>Cleaned_Data[[#This Row],[Price (USD)]]/(1+Cleaned_Data[[#This Row],[7d Change (%)]]/100)</f>
        <v>4.1978842663297697E-3</v>
      </c>
      <c r="S159">
        <f>Cleaned_Data[[#This Row],[Price (USD)]]-Cleaned_Data[[#This Row],[1-Hour Before Price]]</f>
        <v>1.2599962200335324E-8</v>
      </c>
    </row>
    <row r="160" spans="1:19" x14ac:dyDescent="0.3">
      <c r="A160" t="s">
        <v>1054</v>
      </c>
      <c r="B160" t="s">
        <v>1055</v>
      </c>
      <c r="C160">
        <v>3.6499999999999998E-2</v>
      </c>
      <c r="D160">
        <v>2.8999999999999998E-3</v>
      </c>
      <c r="E160">
        <v>3296073</v>
      </c>
      <c r="F160">
        <v>1991360</v>
      </c>
      <c r="G160" t="s">
        <v>1060</v>
      </c>
      <c r="H160">
        <v>90230000</v>
      </c>
      <c r="I160">
        <f>Cleaned_Data[[#This Row],[Volume (24h) USD]]/Cleaned_Data[[#This Row],[Circulating_Supply($)]]</f>
        <v>2.2069821567106285E-2</v>
      </c>
      <c r="J160">
        <f>RANK(Cleaned_Data[[#This Row],[Market Cap]],Cleaned_Data[Market Cap],0)</f>
        <v>159</v>
      </c>
      <c r="K160" t="str">
        <f t="shared" si="4"/>
        <v>0-0.5</v>
      </c>
      <c r="L160">
        <f>Cleaned_Data[[#This Row],[1h Change (%)]]*24</f>
        <v>6.9599999999999995E-2</v>
      </c>
      <c r="M160">
        <f>Cleaned_Data[[#This Row],[24h Change (%)]]*7</f>
        <v>0.48719999999999997</v>
      </c>
      <c r="N160" t="str" cm="1">
        <f t="array" ref="N160">_xlfn.IFS(Cleaned_Data[[#This Row],[Price (USD)]]&lt;0.05,"0 - 0.05",Cleaned_Data[[#This Row],[Price (USD)]]&lt;0.5,"0.05 - 0.5",Cleaned_Data[[#This Row],[Price (USD)]]&lt;5,"0.5 - 5",Cleaned_Data[[#This Row],[Price (USD)]]&lt;50,"5 - 50",Cleaned_Data[[#This Row],[Price (USD)]]&gt;=50,"&gt; 50")</f>
        <v>0 - 0.05</v>
      </c>
      <c r="O160">
        <f>(Cleaned_Data[[#This Row],[1h Change (%)]]+Cleaned_Data[[#This Row],[24h Change (%)]]+Cleaned_Data[[#This Row],[7d Change (%)]])/3</f>
        <v>0.18656666666666666</v>
      </c>
      <c r="P160">
        <f>Cleaned_Data[[#This Row],[Price (USD)]]/(1+Cleaned_Data[[#This Row],[1h Change (%)]]/100)</f>
        <v>3.6498941530695606E-2</v>
      </c>
      <c r="Q160">
        <f>Cleaned_Data[[#This Row],[Price (USD)]]/(1-Cleaned_Data[[#This Row],[24h Change (%)]]/100)</f>
        <v>3.6525421693498671E-2</v>
      </c>
      <c r="R160">
        <f>Cleaned_Data[[#This Row],[Price (USD)]]/(1+Cleaned_Data[[#This Row],[7d Change (%)]]/100)</f>
        <v>3.6323034177487279E-2</v>
      </c>
      <c r="S160">
        <f>Cleaned_Data[[#This Row],[Price (USD)]]-Cleaned_Data[[#This Row],[1-Hour Before Price]]</f>
        <v>1.0584693043921845E-6</v>
      </c>
    </row>
    <row r="161" spans="1:19" x14ac:dyDescent="0.3">
      <c r="A161" t="s">
        <v>1061</v>
      </c>
      <c r="B161" t="s">
        <v>1062</v>
      </c>
      <c r="C161">
        <v>2.9999999999999997E-4</v>
      </c>
      <c r="D161">
        <v>0</v>
      </c>
      <c r="E161">
        <v>3290369</v>
      </c>
      <c r="F161">
        <v>19915</v>
      </c>
      <c r="G161" t="s">
        <v>1066</v>
      </c>
      <c r="H161">
        <v>10000000000</v>
      </c>
      <c r="I161">
        <f>Cleaned_Data[[#This Row],[Volume (24h) USD]]/Cleaned_Data[[#This Row],[Circulating_Supply($)]]</f>
        <v>1.9914999999999999E-6</v>
      </c>
      <c r="J161">
        <f>RANK(Cleaned_Data[[#This Row],[Market Cap]],Cleaned_Data[Market Cap],0)</f>
        <v>160</v>
      </c>
      <c r="K161" t="str">
        <f t="shared" si="4"/>
        <v>0-0.5</v>
      </c>
      <c r="L161">
        <f>Cleaned_Data[[#This Row],[1h Change (%)]]*24</f>
        <v>0</v>
      </c>
      <c r="M161">
        <f>Cleaned_Data[[#This Row],[24h Change (%)]]*7</f>
        <v>0</v>
      </c>
      <c r="N161" t="str" cm="1">
        <f t="array" ref="N161">_xlfn.IFS(Cleaned_Data[[#This Row],[Price (USD)]]&lt;0.05,"0 - 0.05",Cleaned_Data[[#This Row],[Price (USD)]]&lt;0.5,"0.05 - 0.5",Cleaned_Data[[#This Row],[Price (USD)]]&lt;5,"0.5 - 5",Cleaned_Data[[#This Row],[Price (USD)]]&lt;50,"5 - 50",Cleaned_Data[[#This Row],[Price (USD)]]&gt;=50,"&gt; 50")</f>
        <v>0 - 0.05</v>
      </c>
      <c r="O161">
        <f>(Cleaned_Data[[#This Row],[1h Change (%)]]+Cleaned_Data[[#This Row],[24h Change (%)]]+Cleaned_Data[[#This Row],[7d Change (%)]])/3</f>
        <v>0</v>
      </c>
      <c r="P161">
        <f>Cleaned_Data[[#This Row],[Price (USD)]]/(1+Cleaned_Data[[#This Row],[1h Change (%)]]/100)</f>
        <v>2.9999999999999997E-4</v>
      </c>
      <c r="Q161">
        <f>Cleaned_Data[[#This Row],[Price (USD)]]/(1-Cleaned_Data[[#This Row],[24h Change (%)]]/100)</f>
        <v>2.9999999999999997E-4</v>
      </c>
      <c r="R161">
        <f>Cleaned_Data[[#This Row],[Price (USD)]]/(1+Cleaned_Data[[#This Row],[7d Change (%)]]/100)</f>
        <v>2.9999999999999997E-4</v>
      </c>
      <c r="S161">
        <f>Cleaned_Data[[#This Row],[Price (USD)]]-Cleaned_Data[[#This Row],[1-Hour Before Price]]</f>
        <v>0</v>
      </c>
    </row>
    <row r="162" spans="1:19" x14ac:dyDescent="0.3">
      <c r="A162" t="s">
        <v>1067</v>
      </c>
      <c r="B162" t="s">
        <v>1068</v>
      </c>
      <c r="C162">
        <v>3.7000000000000002E-3</v>
      </c>
      <c r="D162">
        <v>7.4000000000000003E-3</v>
      </c>
      <c r="E162">
        <v>3283841</v>
      </c>
      <c r="F162">
        <v>123380</v>
      </c>
      <c r="G162" t="s">
        <v>1073</v>
      </c>
      <c r="H162">
        <v>888880000</v>
      </c>
      <c r="I162">
        <f>Cleaned_Data[[#This Row],[Volume (24h) USD]]/Cleaned_Data[[#This Row],[Circulating_Supply($)]]</f>
        <v>1.3880388803888039E-4</v>
      </c>
      <c r="J162">
        <f>RANK(Cleaned_Data[[#This Row],[Market Cap]],Cleaned_Data[Market Cap],0)</f>
        <v>161</v>
      </c>
      <c r="K162" t="str">
        <f t="shared" ref="K162:K188" si="5">IF(C162&lt;=0.5,"0-0.5",
IF(C162&lt;=1,"0.5-1",
IF(C162&lt;=2,"1-2",
IF(C162&lt;=10,"2-10",
IF(C162&lt;=100,"10-100",
IF(C162&lt;=10000,"100-10000",
"10000+"))))))</f>
        <v>0-0.5</v>
      </c>
      <c r="L162">
        <f>Cleaned_Data[[#This Row],[1h Change (%)]]*24</f>
        <v>0.17760000000000001</v>
      </c>
      <c r="M162">
        <f>Cleaned_Data[[#This Row],[24h Change (%)]]*7</f>
        <v>1.2432000000000001</v>
      </c>
      <c r="N162" t="str" cm="1">
        <f t="array" ref="N162">_xlfn.IFS(Cleaned_Data[[#This Row],[Price (USD)]]&lt;0.05,"0 - 0.05",Cleaned_Data[[#This Row],[Price (USD)]]&lt;0.5,"0.05 - 0.5",Cleaned_Data[[#This Row],[Price (USD)]]&lt;5,"0.5 - 5",Cleaned_Data[[#This Row],[Price (USD)]]&lt;50,"5 - 50",Cleaned_Data[[#This Row],[Price (USD)]]&gt;=50,"&gt; 50")</f>
        <v>0 - 0.05</v>
      </c>
      <c r="O162">
        <f>(Cleaned_Data[[#This Row],[1h Change (%)]]+Cleaned_Data[[#This Row],[24h Change (%)]]+Cleaned_Data[[#This Row],[7d Change (%)]])/3</f>
        <v>0.47606666666666669</v>
      </c>
      <c r="P162">
        <f>Cleaned_Data[[#This Row],[Price (USD)]]/(1+Cleaned_Data[[#This Row],[1h Change (%)]]/100)</f>
        <v>3.6997262202597011E-3</v>
      </c>
      <c r="Q162">
        <f>Cleaned_Data[[#This Row],[Price (USD)]]/(1-Cleaned_Data[[#This Row],[24h Change (%)]]/100)</f>
        <v>3.7065828912147976E-3</v>
      </c>
      <c r="R162">
        <f>Cleaned_Data[[#This Row],[Price (USD)]]/(1+Cleaned_Data[[#This Row],[7d Change (%)]]/100)</f>
        <v>3.6545664301404937E-3</v>
      </c>
      <c r="S162">
        <f>Cleaned_Data[[#This Row],[Price (USD)]]-Cleaned_Data[[#This Row],[1-Hour Before Price]]</f>
        <v>2.7377974029909116E-7</v>
      </c>
    </row>
    <row r="163" spans="1:19" x14ac:dyDescent="0.3">
      <c r="A163" t="s">
        <v>1074</v>
      </c>
      <c r="B163" t="s">
        <v>1075</v>
      </c>
      <c r="C163">
        <v>5.0000000000000001E-3</v>
      </c>
      <c r="D163">
        <v>1.6999999999999999E-3</v>
      </c>
      <c r="E163">
        <v>2780822</v>
      </c>
      <c r="F163">
        <v>492884</v>
      </c>
      <c r="G163" t="s">
        <v>1080</v>
      </c>
      <c r="H163">
        <v>553850000</v>
      </c>
      <c r="I163">
        <f>Cleaned_Data[[#This Row],[Volume (24h) USD]]/Cleaned_Data[[#This Row],[Circulating_Supply($)]]</f>
        <v>8.8992326442177488E-4</v>
      </c>
      <c r="J163">
        <f>RANK(Cleaned_Data[[#This Row],[Market Cap]],Cleaned_Data[Market Cap],0)</f>
        <v>162</v>
      </c>
      <c r="K163" t="str">
        <f t="shared" si="5"/>
        <v>0-0.5</v>
      </c>
      <c r="L163">
        <f>Cleaned_Data[[#This Row],[1h Change (%)]]*24</f>
        <v>4.0799999999999996E-2</v>
      </c>
      <c r="M163">
        <f>Cleaned_Data[[#This Row],[24h Change (%)]]*7</f>
        <v>0.28559999999999997</v>
      </c>
      <c r="N163" t="str" cm="1">
        <f t="array" ref="N163">_xlfn.IFS(Cleaned_Data[[#This Row],[Price (USD)]]&lt;0.05,"0 - 0.05",Cleaned_Data[[#This Row],[Price (USD)]]&lt;0.5,"0.05 - 0.5",Cleaned_Data[[#This Row],[Price (USD)]]&lt;5,"0.5 - 5",Cleaned_Data[[#This Row],[Price (USD)]]&lt;50,"5 - 50",Cleaned_Data[[#This Row],[Price (USD)]]&gt;=50,"&gt; 50")</f>
        <v>0 - 0.05</v>
      </c>
      <c r="O163">
        <f>(Cleaned_Data[[#This Row],[1h Change (%)]]+Cleaned_Data[[#This Row],[24h Change (%)]]+Cleaned_Data[[#This Row],[7d Change (%)]])/3</f>
        <v>0.10936666666666665</v>
      </c>
      <c r="P163">
        <f>Cleaned_Data[[#This Row],[Price (USD)]]/(1+Cleaned_Data[[#This Row],[1h Change (%)]]/100)</f>
        <v>4.9999150014449758E-3</v>
      </c>
      <c r="Q163">
        <f>Cleaned_Data[[#This Row],[Price (USD)]]/(1-Cleaned_Data[[#This Row],[24h Change (%)]]/100)</f>
        <v>5.0020408326597252E-3</v>
      </c>
      <c r="R163">
        <f>Cleaned_Data[[#This Row],[Price (USD)]]/(1+Cleaned_Data[[#This Row],[7d Change (%)]]/100)</f>
        <v>4.9857606675335247E-3</v>
      </c>
      <c r="S163">
        <f>Cleaned_Data[[#This Row],[Price (USD)]]-Cleaned_Data[[#This Row],[1-Hour Before Price]]</f>
        <v>8.4998555024279332E-8</v>
      </c>
    </row>
    <row r="164" spans="1:19" x14ac:dyDescent="0.3">
      <c r="A164" t="s">
        <v>1081</v>
      </c>
      <c r="B164" t="s">
        <v>1082</v>
      </c>
      <c r="C164">
        <v>3.5000000000000001E-3</v>
      </c>
      <c r="D164">
        <v>3.2000000000000002E-3</v>
      </c>
      <c r="E164">
        <v>2775444</v>
      </c>
      <c r="F164">
        <v>78498</v>
      </c>
      <c r="G164" t="s">
        <v>1086</v>
      </c>
      <c r="H164">
        <v>787000000</v>
      </c>
      <c r="I164">
        <f>Cleaned_Data[[#This Row],[Volume (24h) USD]]/Cleaned_Data[[#This Row],[Circulating_Supply($)]]</f>
        <v>9.9743329097839892E-5</v>
      </c>
      <c r="J164">
        <f>RANK(Cleaned_Data[[#This Row],[Market Cap]],Cleaned_Data[Market Cap],0)</f>
        <v>163</v>
      </c>
      <c r="K164" t="str">
        <f t="shared" si="5"/>
        <v>0-0.5</v>
      </c>
      <c r="L164">
        <f>Cleaned_Data[[#This Row],[1h Change (%)]]*24</f>
        <v>7.6800000000000007E-2</v>
      </c>
      <c r="M164">
        <f>Cleaned_Data[[#This Row],[24h Change (%)]]*7</f>
        <v>0.53760000000000008</v>
      </c>
      <c r="N164" t="str" cm="1">
        <f t="array" ref="N164">_xlfn.IFS(Cleaned_Data[[#This Row],[Price (USD)]]&lt;0.05,"0 - 0.05",Cleaned_Data[[#This Row],[Price (USD)]]&lt;0.5,"0.05 - 0.5",Cleaned_Data[[#This Row],[Price (USD)]]&lt;5,"0.5 - 5",Cleaned_Data[[#This Row],[Price (USD)]]&lt;50,"5 - 50",Cleaned_Data[[#This Row],[Price (USD)]]&gt;=50,"&gt; 50")</f>
        <v>0 - 0.05</v>
      </c>
      <c r="O164">
        <f>(Cleaned_Data[[#This Row],[1h Change (%)]]+Cleaned_Data[[#This Row],[24h Change (%)]]+Cleaned_Data[[#This Row],[7d Change (%)]])/3</f>
        <v>0.20586666666666667</v>
      </c>
      <c r="P164">
        <f>Cleaned_Data[[#This Row],[Price (USD)]]/(1+Cleaned_Data[[#This Row],[1h Change (%)]]/100)</f>
        <v>3.4998880035838854E-3</v>
      </c>
      <c r="Q164">
        <f>Cleaned_Data[[#This Row],[Price (USD)]]/(1-Cleaned_Data[[#This Row],[24h Change (%)]]/100)</f>
        <v>3.5026900659706657E-3</v>
      </c>
      <c r="R164">
        <f>Cleaned_Data[[#This Row],[Price (USD)]]/(1+Cleaned_Data[[#This Row],[7d Change (%)]]/100)</f>
        <v>3.4812846139155897E-3</v>
      </c>
      <c r="S164">
        <f>Cleaned_Data[[#This Row],[Price (USD)]]-Cleaned_Data[[#This Row],[1-Hour Before Price]]</f>
        <v>1.1199641611467012E-7</v>
      </c>
    </row>
    <row r="165" spans="1:19" x14ac:dyDescent="0.3">
      <c r="A165" t="s">
        <v>1091</v>
      </c>
      <c r="B165" t="s">
        <v>1092</v>
      </c>
      <c r="C165">
        <v>5.7000000000000002E-3</v>
      </c>
      <c r="D165">
        <v>4.1000000000000003E-3</v>
      </c>
      <c r="E165">
        <v>2752249</v>
      </c>
      <c r="F165">
        <v>248901</v>
      </c>
      <c r="G165" t="s">
        <v>1096</v>
      </c>
      <c r="H165">
        <v>483880000</v>
      </c>
      <c r="I165">
        <f>Cleaned_Data[[#This Row],[Volume (24h) USD]]/Cleaned_Data[[#This Row],[Circulating_Supply($)]]</f>
        <v>5.1438579813176816E-4</v>
      </c>
      <c r="J165">
        <f>RANK(Cleaned_Data[[#This Row],[Market Cap]],Cleaned_Data[Market Cap],0)</f>
        <v>164</v>
      </c>
      <c r="K165" t="str">
        <f t="shared" si="5"/>
        <v>0-0.5</v>
      </c>
      <c r="L165">
        <f>Cleaned_Data[[#This Row],[1h Change (%)]]*24</f>
        <v>9.8400000000000015E-2</v>
      </c>
      <c r="M165">
        <f>Cleaned_Data[[#This Row],[24h Change (%)]]*7</f>
        <v>0.68880000000000008</v>
      </c>
      <c r="N165" t="str" cm="1">
        <f t="array" ref="N165">_xlfn.IFS(Cleaned_Data[[#This Row],[Price (USD)]]&lt;0.05,"0 - 0.05",Cleaned_Data[[#This Row],[Price (USD)]]&lt;0.5,"0.05 - 0.5",Cleaned_Data[[#This Row],[Price (USD)]]&lt;5,"0.5 - 5",Cleaned_Data[[#This Row],[Price (USD)]]&lt;50,"5 - 50",Cleaned_Data[[#This Row],[Price (USD)]]&gt;=50,"&gt; 50")</f>
        <v>0 - 0.05</v>
      </c>
      <c r="O165">
        <f>(Cleaned_Data[[#This Row],[1h Change (%)]]+Cleaned_Data[[#This Row],[24h Change (%)]]+Cleaned_Data[[#This Row],[7d Change (%)]])/3</f>
        <v>0.2637666666666667</v>
      </c>
      <c r="P165">
        <f>Cleaned_Data[[#This Row],[Price (USD)]]/(1+Cleaned_Data[[#This Row],[1h Change (%)]]/100)</f>
        <v>5.6997663095813078E-3</v>
      </c>
      <c r="Q165">
        <f>Cleaned_Data[[#This Row],[Price (USD)]]/(1-Cleaned_Data[[#This Row],[24h Change (%)]]/100)</f>
        <v>5.7056143244953034E-3</v>
      </c>
      <c r="R165">
        <f>Cleaned_Data[[#This Row],[Price (USD)]]/(1+Cleaned_Data[[#This Row],[7d Change (%)]]/100)</f>
        <v>5.6610069838949322E-3</v>
      </c>
      <c r="S165">
        <f>Cleaned_Data[[#This Row],[Price (USD)]]-Cleaned_Data[[#This Row],[1-Hour Before Price]]</f>
        <v>2.3369041869236024E-7</v>
      </c>
    </row>
    <row r="166" spans="1:19" x14ac:dyDescent="0.3">
      <c r="A166" t="s">
        <v>1097</v>
      </c>
      <c r="B166" t="s">
        <v>1098</v>
      </c>
      <c r="C166">
        <v>2.63</v>
      </c>
      <c r="D166">
        <v>1.66E-2</v>
      </c>
      <c r="E166">
        <v>2740226</v>
      </c>
      <c r="F166">
        <v>650212</v>
      </c>
      <c r="G166" t="s">
        <v>1103</v>
      </c>
      <c r="H166">
        <v>1040000</v>
      </c>
      <c r="I166">
        <f>Cleaned_Data[[#This Row],[Volume (24h) USD]]/Cleaned_Data[[#This Row],[Circulating_Supply($)]]</f>
        <v>0.62520384615384617</v>
      </c>
      <c r="J166">
        <f>RANK(Cleaned_Data[[#This Row],[Market Cap]],Cleaned_Data[Market Cap],0)</f>
        <v>165</v>
      </c>
      <c r="K166" t="str">
        <f t="shared" si="5"/>
        <v>2-10</v>
      </c>
      <c r="L166">
        <f>Cleaned_Data[[#This Row],[1h Change (%)]]*24</f>
        <v>0.39839999999999998</v>
      </c>
      <c r="M166">
        <f>Cleaned_Data[[#This Row],[24h Change (%)]]*7</f>
        <v>2.7887999999999997</v>
      </c>
      <c r="N166" t="str" cm="1">
        <f t="array" ref="N166">_xlfn.IFS(Cleaned_Data[[#This Row],[Price (USD)]]&lt;0.05,"0 - 0.05",Cleaned_Data[[#This Row],[Price (USD)]]&lt;0.5,"0.05 - 0.5",Cleaned_Data[[#This Row],[Price (USD)]]&lt;5,"0.5 - 5",Cleaned_Data[[#This Row],[Price (USD)]]&lt;50,"5 - 50",Cleaned_Data[[#This Row],[Price (USD)]]&gt;=50,"&gt; 50")</f>
        <v>0.5 - 5</v>
      </c>
      <c r="O166">
        <f>(Cleaned_Data[[#This Row],[1h Change (%)]]+Cleaned_Data[[#This Row],[24h Change (%)]]+Cleaned_Data[[#This Row],[7d Change (%)]])/3</f>
        <v>1.0679333333333332</v>
      </c>
      <c r="P166">
        <f>Cleaned_Data[[#This Row],[Price (USD)]]/(1+Cleaned_Data[[#This Row],[1h Change (%)]]/100)</f>
        <v>2.6295634924602513</v>
      </c>
      <c r="Q166">
        <f>Cleaned_Data[[#This Row],[Price (USD)]]/(1-Cleaned_Data[[#This Row],[24h Change (%)]]/100)</f>
        <v>2.6405198310067308</v>
      </c>
      <c r="R166">
        <f>Cleaned_Data[[#This Row],[Price (USD)]]/(1+Cleaned_Data[[#This Row],[7d Change (%)]]/100)</f>
        <v>2.5586445215821181</v>
      </c>
      <c r="S166">
        <f>Cleaned_Data[[#This Row],[Price (USD)]]-Cleaned_Data[[#This Row],[1-Hour Before Price]]</f>
        <v>4.3650753974855405E-4</v>
      </c>
    </row>
    <row r="167" spans="1:19" x14ac:dyDescent="0.3">
      <c r="A167" t="s">
        <v>1104</v>
      </c>
      <c r="B167" t="s">
        <v>1105</v>
      </c>
      <c r="C167">
        <v>7.22E-2</v>
      </c>
      <c r="D167">
        <v>7.1999999999999998E-3</v>
      </c>
      <c r="E167">
        <v>2725328</v>
      </c>
      <c r="F167">
        <v>225992</v>
      </c>
      <c r="G167" t="s">
        <v>1109</v>
      </c>
      <c r="H167">
        <v>37720000</v>
      </c>
      <c r="I167">
        <f>Cleaned_Data[[#This Row],[Volume (24h) USD]]/Cleaned_Data[[#This Row],[Circulating_Supply($)]]</f>
        <v>5.9913043478260868E-3</v>
      </c>
      <c r="J167">
        <f>RANK(Cleaned_Data[[#This Row],[Market Cap]],Cleaned_Data[Market Cap],0)</f>
        <v>166</v>
      </c>
      <c r="K167" t="str">
        <f t="shared" si="5"/>
        <v>0-0.5</v>
      </c>
      <c r="L167">
        <f>Cleaned_Data[[#This Row],[1h Change (%)]]*24</f>
        <v>0.17280000000000001</v>
      </c>
      <c r="M167">
        <f>Cleaned_Data[[#This Row],[24h Change (%)]]*7</f>
        <v>1.2096</v>
      </c>
      <c r="N167" t="str" cm="1">
        <f t="array" ref="N167">_xlfn.IFS(Cleaned_Data[[#This Row],[Price (USD)]]&lt;0.05,"0 - 0.05",Cleaned_Data[[#This Row],[Price (USD)]]&lt;0.5,"0.05 - 0.5",Cleaned_Data[[#This Row],[Price (USD)]]&lt;5,"0.5 - 5",Cleaned_Data[[#This Row],[Price (USD)]]&lt;50,"5 - 50",Cleaned_Data[[#This Row],[Price (USD)]]&gt;=50,"&gt; 50")</f>
        <v>0.05 - 0.5</v>
      </c>
      <c r="O167">
        <f>(Cleaned_Data[[#This Row],[1h Change (%)]]+Cleaned_Data[[#This Row],[24h Change (%)]]+Cleaned_Data[[#This Row],[7d Change (%)]])/3</f>
        <v>0.4632</v>
      </c>
      <c r="P167">
        <f>Cleaned_Data[[#This Row],[Price (USD)]]/(1+Cleaned_Data[[#This Row],[1h Change (%)]]/100)</f>
        <v>7.2194801974257844E-2</v>
      </c>
      <c r="Q167">
        <f>Cleaned_Data[[#This Row],[Price (USD)]]/(1-Cleaned_Data[[#This Row],[24h Change (%)]]/100)</f>
        <v>7.2324977561225801E-2</v>
      </c>
      <c r="R167">
        <f>Cleaned_Data[[#This Row],[Price (USD)]]/(1+Cleaned_Data[[#This Row],[7d Change (%)]]/100)</f>
        <v>7.1337106361451866E-2</v>
      </c>
      <c r="S167">
        <f>Cleaned_Data[[#This Row],[Price (USD)]]-Cleaned_Data[[#This Row],[1-Hour Before Price]]</f>
        <v>5.1980257421563314E-6</v>
      </c>
    </row>
    <row r="168" spans="1:19" x14ac:dyDescent="0.3">
      <c r="A168" t="s">
        <v>1110</v>
      </c>
      <c r="B168" t="s">
        <v>1111</v>
      </c>
      <c r="C168">
        <v>2.7000000000000001E-3</v>
      </c>
      <c r="D168">
        <v>3.3E-3</v>
      </c>
      <c r="E168">
        <v>2721575</v>
      </c>
      <c r="F168">
        <v>9317</v>
      </c>
      <c r="G168" t="s">
        <v>1115</v>
      </c>
      <c r="H168">
        <v>993500000</v>
      </c>
      <c r="I168">
        <f>Cleaned_Data[[#This Row],[Volume (24h) USD]]/Cleaned_Data[[#This Row],[Circulating_Supply($)]]</f>
        <v>9.377956718671364E-6</v>
      </c>
      <c r="J168">
        <f>RANK(Cleaned_Data[[#This Row],[Market Cap]],Cleaned_Data[Market Cap],0)</f>
        <v>167</v>
      </c>
      <c r="K168" t="str">
        <f t="shared" si="5"/>
        <v>0-0.5</v>
      </c>
      <c r="L168">
        <f>Cleaned_Data[[#This Row],[1h Change (%)]]*24</f>
        <v>7.9199999999999993E-2</v>
      </c>
      <c r="M168">
        <f>Cleaned_Data[[#This Row],[24h Change (%)]]*7</f>
        <v>0.5544</v>
      </c>
      <c r="N168" t="str" cm="1">
        <f t="array" ref="N168">_xlfn.IFS(Cleaned_Data[[#This Row],[Price (USD)]]&lt;0.05,"0 - 0.05",Cleaned_Data[[#This Row],[Price (USD)]]&lt;0.5,"0.05 - 0.5",Cleaned_Data[[#This Row],[Price (USD)]]&lt;5,"0.5 - 5",Cleaned_Data[[#This Row],[Price (USD)]]&lt;50,"5 - 50",Cleaned_Data[[#This Row],[Price (USD)]]&gt;=50,"&gt; 50")</f>
        <v>0 - 0.05</v>
      </c>
      <c r="O168">
        <f>(Cleaned_Data[[#This Row],[1h Change (%)]]+Cleaned_Data[[#This Row],[24h Change (%)]]+Cleaned_Data[[#This Row],[7d Change (%)]])/3</f>
        <v>0.21230000000000002</v>
      </c>
      <c r="P168">
        <f>Cleaned_Data[[#This Row],[Price (USD)]]/(1+Cleaned_Data[[#This Row],[1h Change (%)]]/100)</f>
        <v>2.6999109029402033E-3</v>
      </c>
      <c r="Q168">
        <f>Cleaned_Data[[#This Row],[Price (USD)]]/(1-Cleaned_Data[[#This Row],[24h Change (%)]]/100)</f>
        <v>2.7021400949552047E-3</v>
      </c>
      <c r="R168">
        <f>Cleaned_Data[[#This Row],[Price (USD)]]/(1+Cleaned_Data[[#This Row],[7d Change (%)]]/100)</f>
        <v>2.6851137294837423E-3</v>
      </c>
      <c r="S168">
        <f>Cleaned_Data[[#This Row],[Price (USD)]]-Cleaned_Data[[#This Row],[1-Hour Before Price]]</f>
        <v>8.909705979682353E-8</v>
      </c>
    </row>
    <row r="169" spans="1:19" x14ac:dyDescent="0.3">
      <c r="A169" t="s">
        <v>1116</v>
      </c>
      <c r="B169" t="s">
        <v>1117</v>
      </c>
      <c r="C169">
        <v>0.33800000000000002</v>
      </c>
      <c r="D169">
        <v>1.6199999999999999E-2</v>
      </c>
      <c r="E169">
        <v>2718841</v>
      </c>
      <c r="F169">
        <v>93501</v>
      </c>
      <c r="G169" t="s">
        <v>1122</v>
      </c>
      <c r="H169">
        <v>8039999.9999999991</v>
      </c>
      <c r="I169">
        <f>Cleaned_Data[[#This Row],[Volume (24h) USD]]/Cleaned_Data[[#This Row],[Circulating_Supply($)]]</f>
        <v>1.16294776119403E-2</v>
      </c>
      <c r="J169">
        <f>RANK(Cleaned_Data[[#This Row],[Market Cap]],Cleaned_Data[Market Cap],0)</f>
        <v>168</v>
      </c>
      <c r="K169" t="str">
        <f t="shared" si="5"/>
        <v>0-0.5</v>
      </c>
      <c r="L169">
        <f>Cleaned_Data[[#This Row],[1h Change (%)]]*24</f>
        <v>0.38879999999999998</v>
      </c>
      <c r="M169">
        <f>Cleaned_Data[[#This Row],[24h Change (%)]]*7</f>
        <v>2.7216</v>
      </c>
      <c r="N169" t="str" cm="1">
        <f t="array" ref="N169">_xlfn.IFS(Cleaned_Data[[#This Row],[Price (USD)]]&lt;0.05,"0 - 0.05",Cleaned_Data[[#This Row],[Price (USD)]]&lt;0.5,"0.05 - 0.5",Cleaned_Data[[#This Row],[Price (USD)]]&lt;5,"0.5 - 5",Cleaned_Data[[#This Row],[Price (USD)]]&lt;50,"5 - 50",Cleaned_Data[[#This Row],[Price (USD)]]&gt;=50,"&gt; 50")</f>
        <v>0.05 - 0.5</v>
      </c>
      <c r="O169">
        <f>(Cleaned_Data[[#This Row],[1h Change (%)]]+Cleaned_Data[[#This Row],[24h Change (%)]]+Cleaned_Data[[#This Row],[7d Change (%)]])/3</f>
        <v>1.0422</v>
      </c>
      <c r="P169">
        <f>Cleaned_Data[[#This Row],[Price (USD)]]/(1+Cleaned_Data[[#This Row],[1h Change (%)]]/100)</f>
        <v>0.33794525286903526</v>
      </c>
      <c r="Q169">
        <f>Cleaned_Data[[#This Row],[Price (USD)]]/(1-Cleaned_Data[[#This Row],[24h Change (%)]]/100)</f>
        <v>0.33931927333472545</v>
      </c>
      <c r="R169">
        <f>Cleaned_Data[[#This Row],[Price (USD)]]/(1+Cleaned_Data[[#This Row],[7d Change (%)]]/100)</f>
        <v>0.32904471892961173</v>
      </c>
      <c r="S169">
        <f>Cleaned_Data[[#This Row],[Price (USD)]]-Cleaned_Data[[#This Row],[1-Hour Before Price]]</f>
        <v>5.4747130964760693E-5</v>
      </c>
    </row>
    <row r="170" spans="1:19" x14ac:dyDescent="0.3">
      <c r="A170" t="s">
        <v>1123</v>
      </c>
      <c r="B170" t="s">
        <v>1124</v>
      </c>
      <c r="C170">
        <v>8.8499999999999995E-2</v>
      </c>
      <c r="D170">
        <v>8.9999999999999998E-4</v>
      </c>
      <c r="E170">
        <v>2717949</v>
      </c>
      <c r="F170">
        <v>86410</v>
      </c>
      <c r="G170" t="s">
        <v>1128</v>
      </c>
      <c r="H170">
        <v>320720000000000</v>
      </c>
      <c r="I170">
        <f>Cleaned_Data[[#This Row],[Volume (24h) USD]]/Cleaned_Data[[#This Row],[Circulating_Supply($)]]</f>
        <v>2.6942504365178351E-10</v>
      </c>
      <c r="J170">
        <f>RANK(Cleaned_Data[[#This Row],[Market Cap]],Cleaned_Data[Market Cap],0)</f>
        <v>169</v>
      </c>
      <c r="K170" t="str">
        <f t="shared" si="5"/>
        <v>0-0.5</v>
      </c>
      <c r="L170">
        <f>Cleaned_Data[[#This Row],[1h Change (%)]]*24</f>
        <v>2.1600000000000001E-2</v>
      </c>
      <c r="M170">
        <f>Cleaned_Data[[#This Row],[24h Change (%)]]*7</f>
        <v>0.1512</v>
      </c>
      <c r="N170" t="str" cm="1">
        <f t="array" ref="N170">_xlfn.IFS(Cleaned_Data[[#This Row],[Price (USD)]]&lt;0.05,"0 - 0.05",Cleaned_Data[[#This Row],[Price (USD)]]&lt;0.5,"0.05 - 0.5",Cleaned_Data[[#This Row],[Price (USD)]]&lt;5,"0.5 - 5",Cleaned_Data[[#This Row],[Price (USD)]]&lt;50,"5 - 50",Cleaned_Data[[#This Row],[Price (USD)]]&gt;=50,"&gt; 50")</f>
        <v>0.05 - 0.5</v>
      </c>
      <c r="O170">
        <f>(Cleaned_Data[[#This Row],[1h Change (%)]]+Cleaned_Data[[#This Row],[24h Change (%)]]+Cleaned_Data[[#This Row],[7d Change (%)]])/3</f>
        <v>5.79E-2</v>
      </c>
      <c r="P170">
        <f>Cleaned_Data[[#This Row],[Price (USD)]]/(1+Cleaned_Data[[#This Row],[1h Change (%)]]/100)</f>
        <v>8.8499203507168431E-2</v>
      </c>
      <c r="Q170">
        <f>Cleaned_Data[[#This Row],[Price (USD)]]/(1-Cleaned_Data[[#This Row],[24h Change (%)]]/100)</f>
        <v>8.8519120129948059E-2</v>
      </c>
      <c r="R170">
        <f>Cleaned_Data[[#This Row],[Price (USD)]]/(1+Cleaned_Data[[#This Row],[7d Change (%)]]/100)</f>
        <v>8.8366390018292343E-2</v>
      </c>
      <c r="S170">
        <f>Cleaned_Data[[#This Row],[Price (USD)]]-Cleaned_Data[[#This Row],[1-Hour Before Price]]</f>
        <v>7.9649283156457695E-7</v>
      </c>
    </row>
    <row r="171" spans="1:19" x14ac:dyDescent="0.3">
      <c r="A171" t="s">
        <v>1129</v>
      </c>
      <c r="B171" t="s">
        <v>1130</v>
      </c>
      <c r="C171">
        <v>1.7899999999999999E-2</v>
      </c>
      <c r="D171">
        <v>6.4000000000000003E-3</v>
      </c>
      <c r="E171">
        <v>2715332</v>
      </c>
      <c r="F171">
        <v>475091</v>
      </c>
      <c r="G171" t="s">
        <v>1135</v>
      </c>
      <c r="H171">
        <v>151660000</v>
      </c>
      <c r="I171">
        <f>Cleaned_Data[[#This Row],[Volume (24h) USD]]/Cleaned_Data[[#This Row],[Circulating_Supply($)]]</f>
        <v>3.1326058288276407E-3</v>
      </c>
      <c r="J171">
        <f>RANK(Cleaned_Data[[#This Row],[Market Cap]],Cleaned_Data[Market Cap],0)</f>
        <v>170</v>
      </c>
      <c r="K171" t="str">
        <f t="shared" si="5"/>
        <v>0-0.5</v>
      </c>
      <c r="L171">
        <f>Cleaned_Data[[#This Row],[1h Change (%)]]*24</f>
        <v>0.15360000000000001</v>
      </c>
      <c r="M171">
        <f>Cleaned_Data[[#This Row],[24h Change (%)]]*7</f>
        <v>1.0752000000000002</v>
      </c>
      <c r="N171" t="str" cm="1">
        <f t="array" ref="N171">_xlfn.IFS(Cleaned_Data[[#This Row],[Price (USD)]]&lt;0.05,"0 - 0.05",Cleaned_Data[[#This Row],[Price (USD)]]&lt;0.5,"0.05 - 0.5",Cleaned_Data[[#This Row],[Price (USD)]]&lt;5,"0.5 - 5",Cleaned_Data[[#This Row],[Price (USD)]]&lt;50,"5 - 50",Cleaned_Data[[#This Row],[Price (USD)]]&gt;=50,"&gt; 50")</f>
        <v>0 - 0.05</v>
      </c>
      <c r="O171">
        <f>(Cleaned_Data[[#This Row],[1h Change (%)]]+Cleaned_Data[[#This Row],[24h Change (%)]]+Cleaned_Data[[#This Row],[7d Change (%)]])/3</f>
        <v>0.41173333333333334</v>
      </c>
      <c r="P171">
        <f>Cleaned_Data[[#This Row],[Price (USD)]]/(1+Cleaned_Data[[#This Row],[1h Change (%)]]/100)</f>
        <v>1.7898854473313706E-2</v>
      </c>
      <c r="Q171">
        <f>Cleaned_Data[[#This Row],[Price (USD)]]/(1-Cleaned_Data[[#This Row],[24h Change (%)]]/100)</f>
        <v>1.7927536696365615E-2</v>
      </c>
      <c r="R171">
        <f>Cleaned_Data[[#This Row],[Price (USD)]]/(1+Cleaned_Data[[#This Row],[7d Change (%)]]/100)</f>
        <v>1.7709586525675929E-2</v>
      </c>
      <c r="S171">
        <f>Cleaned_Data[[#This Row],[Price (USD)]]-Cleaned_Data[[#This Row],[1-Hour Before Price]]</f>
        <v>1.1455266862928082E-6</v>
      </c>
    </row>
    <row r="172" spans="1:19" x14ac:dyDescent="0.3">
      <c r="A172" t="s">
        <v>1136</v>
      </c>
      <c r="B172" t="s">
        <v>1137</v>
      </c>
      <c r="C172">
        <v>5.5399999999999998E-2</v>
      </c>
      <c r="D172">
        <v>1.4E-3</v>
      </c>
      <c r="E172">
        <v>2203902</v>
      </c>
      <c r="F172">
        <v>537558</v>
      </c>
      <c r="G172" t="s">
        <v>1141</v>
      </c>
      <c r="H172">
        <v>409500000000</v>
      </c>
      <c r="I172">
        <f>Cleaned_Data[[#This Row],[Volume (24h) USD]]/Cleaned_Data[[#This Row],[Circulating_Supply($)]]</f>
        <v>1.3127179487179488E-6</v>
      </c>
      <c r="J172">
        <f>RANK(Cleaned_Data[[#This Row],[Market Cap]],Cleaned_Data[Market Cap],0)</f>
        <v>171</v>
      </c>
      <c r="K172" t="str">
        <f t="shared" si="5"/>
        <v>0-0.5</v>
      </c>
      <c r="L172">
        <f>Cleaned_Data[[#This Row],[1h Change (%)]]*24</f>
        <v>3.3599999999999998E-2</v>
      </c>
      <c r="M172">
        <f>Cleaned_Data[[#This Row],[24h Change (%)]]*7</f>
        <v>0.23519999999999999</v>
      </c>
      <c r="N172" t="str" cm="1">
        <f t="array" ref="N172">_xlfn.IFS(Cleaned_Data[[#This Row],[Price (USD)]]&lt;0.05,"0 - 0.05",Cleaned_Data[[#This Row],[Price (USD)]]&lt;0.5,"0.05 - 0.5",Cleaned_Data[[#This Row],[Price (USD)]]&lt;5,"0.5 - 5",Cleaned_Data[[#This Row],[Price (USD)]]&lt;50,"5 - 50",Cleaned_Data[[#This Row],[Price (USD)]]&gt;=50,"&gt; 50")</f>
        <v>0.05 - 0.5</v>
      </c>
      <c r="O172">
        <f>(Cleaned_Data[[#This Row],[1h Change (%)]]+Cleaned_Data[[#This Row],[24h Change (%)]]+Cleaned_Data[[#This Row],[7d Change (%)]])/3</f>
        <v>9.006666666666667E-2</v>
      </c>
      <c r="P172">
        <f>Cleaned_Data[[#This Row],[Price (USD)]]/(1+Cleaned_Data[[#This Row],[1h Change (%)]]/100)</f>
        <v>5.5399224410858247E-2</v>
      </c>
      <c r="Q172">
        <f>Cleaned_Data[[#This Row],[Price (USD)]]/(1-Cleaned_Data[[#This Row],[24h Change (%)]]/100)</f>
        <v>5.5418620656540594E-2</v>
      </c>
      <c r="R172">
        <f>Cleaned_Data[[#This Row],[Price (USD)]]/(1+Cleaned_Data[[#This Row],[7d Change (%)]]/100)</f>
        <v>5.5270004948361456E-2</v>
      </c>
      <c r="S172">
        <f>Cleaned_Data[[#This Row],[Price (USD)]]-Cleaned_Data[[#This Row],[1-Hour Before Price]]</f>
        <v>7.7558914175074323E-7</v>
      </c>
    </row>
    <row r="173" spans="1:19" x14ac:dyDescent="0.3">
      <c r="A173" t="s">
        <v>1142</v>
      </c>
      <c r="B173" t="s">
        <v>1143</v>
      </c>
      <c r="C173">
        <v>3.1099999999999999E-2</v>
      </c>
      <c r="D173">
        <v>1.2999999999999999E-3</v>
      </c>
      <c r="E173">
        <v>2196829</v>
      </c>
      <c r="F173">
        <v>181224</v>
      </c>
      <c r="G173" t="s">
        <v>1147</v>
      </c>
      <c r="H173">
        <v>70590000</v>
      </c>
      <c r="I173">
        <f>Cleaned_Data[[#This Row],[Volume (24h) USD]]/Cleaned_Data[[#This Row],[Circulating_Supply($)]]</f>
        <v>2.5672758181045476E-3</v>
      </c>
      <c r="J173">
        <f>RANK(Cleaned_Data[[#This Row],[Market Cap]],Cleaned_Data[Market Cap],0)</f>
        <v>172</v>
      </c>
      <c r="K173" t="str">
        <f t="shared" si="5"/>
        <v>0-0.5</v>
      </c>
      <c r="L173">
        <f>Cleaned_Data[[#This Row],[1h Change (%)]]*24</f>
        <v>3.1199999999999999E-2</v>
      </c>
      <c r="M173">
        <f>Cleaned_Data[[#This Row],[24h Change (%)]]*7</f>
        <v>0.21839999999999998</v>
      </c>
      <c r="N173" t="str" cm="1">
        <f t="array" ref="N173">_xlfn.IFS(Cleaned_Data[[#This Row],[Price (USD)]]&lt;0.05,"0 - 0.05",Cleaned_Data[[#This Row],[Price (USD)]]&lt;0.5,"0.05 - 0.5",Cleaned_Data[[#This Row],[Price (USD)]]&lt;5,"0.5 - 5",Cleaned_Data[[#This Row],[Price (USD)]]&lt;50,"5 - 50",Cleaned_Data[[#This Row],[Price (USD)]]&gt;=50,"&gt; 50")</f>
        <v>0 - 0.05</v>
      </c>
      <c r="O173">
        <f>(Cleaned_Data[[#This Row],[1h Change (%)]]+Cleaned_Data[[#This Row],[24h Change (%)]]+Cleaned_Data[[#This Row],[7d Change (%)]])/3</f>
        <v>8.3633333333333337E-2</v>
      </c>
      <c r="P173">
        <f>Cleaned_Data[[#This Row],[Price (USD)]]/(1+Cleaned_Data[[#This Row],[1h Change (%)]]/100)</f>
        <v>3.109959570525583E-2</v>
      </c>
      <c r="Q173">
        <f>Cleaned_Data[[#This Row],[Price (USD)]]/(1-Cleaned_Data[[#This Row],[24h Change (%)]]/100)</f>
        <v>3.1109706228343241E-2</v>
      </c>
      <c r="R173">
        <f>Cleaned_Data[[#This Row],[Price (USD)]]/(1+Cleaned_Data[[#This Row],[7d Change (%)]]/100)</f>
        <v>3.1032225619247563E-2</v>
      </c>
      <c r="S173">
        <f>Cleaned_Data[[#This Row],[Price (USD)]]-Cleaned_Data[[#This Row],[1-Hour Before Price]]</f>
        <v>4.0429474416903144E-7</v>
      </c>
    </row>
    <row r="174" spans="1:19" x14ac:dyDescent="0.3">
      <c r="A174" t="s">
        <v>1148</v>
      </c>
      <c r="B174" t="s">
        <v>1149</v>
      </c>
      <c r="C174">
        <v>5.7000000000000002E-3</v>
      </c>
      <c r="D174">
        <v>2.3E-3</v>
      </c>
      <c r="E174">
        <v>2192711</v>
      </c>
      <c r="F174">
        <v>55232</v>
      </c>
      <c r="G174" t="s">
        <v>1153</v>
      </c>
      <c r="H174">
        <v>382950000</v>
      </c>
      <c r="I174">
        <f>Cleaned_Data[[#This Row],[Volume (24h) USD]]/Cleaned_Data[[#This Row],[Circulating_Supply($)]]</f>
        <v>1.4422770596683639E-4</v>
      </c>
      <c r="J174">
        <f>RANK(Cleaned_Data[[#This Row],[Market Cap]],Cleaned_Data[Market Cap],0)</f>
        <v>174</v>
      </c>
      <c r="K174" t="str">
        <f t="shared" si="5"/>
        <v>0-0.5</v>
      </c>
      <c r="L174">
        <f>Cleaned_Data[[#This Row],[1h Change (%)]]*24</f>
        <v>5.5199999999999999E-2</v>
      </c>
      <c r="M174">
        <f>Cleaned_Data[[#This Row],[24h Change (%)]]*7</f>
        <v>0.38639999999999997</v>
      </c>
      <c r="N174" t="str" cm="1">
        <f t="array" ref="N174">_xlfn.IFS(Cleaned_Data[[#This Row],[Price (USD)]]&lt;0.05,"0 - 0.05",Cleaned_Data[[#This Row],[Price (USD)]]&lt;0.5,"0.05 - 0.5",Cleaned_Data[[#This Row],[Price (USD)]]&lt;5,"0.5 - 5",Cleaned_Data[[#This Row],[Price (USD)]]&lt;50,"5 - 50",Cleaned_Data[[#This Row],[Price (USD)]]&gt;=50,"&gt; 50")</f>
        <v>0 - 0.05</v>
      </c>
      <c r="O174">
        <f>(Cleaned_Data[[#This Row],[1h Change (%)]]+Cleaned_Data[[#This Row],[24h Change (%)]]+Cleaned_Data[[#This Row],[7d Change (%)]])/3</f>
        <v>0.14796666666666666</v>
      </c>
      <c r="P174">
        <f>Cleaned_Data[[#This Row],[Price (USD)]]/(1+Cleaned_Data[[#This Row],[1h Change (%)]]/100)</f>
        <v>5.6998689030152306E-3</v>
      </c>
      <c r="Q174">
        <f>Cleaned_Data[[#This Row],[Price (USD)]]/(1-Cleaned_Data[[#This Row],[24h Change (%)]]/100)</f>
        <v>5.7031481377720506E-3</v>
      </c>
      <c r="R174">
        <f>Cleaned_Data[[#This Row],[Price (USD)]]/(1+Cleaned_Data[[#This Row],[7d Change (%)]]/100)</f>
        <v>5.6780599762517626E-3</v>
      </c>
      <c r="S174">
        <f>Cleaned_Data[[#This Row],[Price (USD)]]-Cleaned_Data[[#This Row],[1-Hour Before Price]]</f>
        <v>1.3109698476961029E-7</v>
      </c>
    </row>
    <row r="175" spans="1:19" x14ac:dyDescent="0.3">
      <c r="A175" t="s">
        <v>1154</v>
      </c>
      <c r="B175" t="s">
        <v>1155</v>
      </c>
      <c r="C175">
        <v>5.2200000000000003E-2</v>
      </c>
      <c r="D175">
        <v>3.3E-3</v>
      </c>
      <c r="E175">
        <v>2193844</v>
      </c>
      <c r="F175">
        <v>238266</v>
      </c>
      <c r="G175" t="s">
        <v>1159</v>
      </c>
      <c r="H175">
        <v>1000000000000</v>
      </c>
      <c r="I175">
        <f>Cleaned_Data[[#This Row],[Volume (24h) USD]]/Cleaned_Data[[#This Row],[Circulating_Supply($)]]</f>
        <v>2.38266E-7</v>
      </c>
      <c r="J175">
        <f>RANK(Cleaned_Data[[#This Row],[Market Cap]],Cleaned_Data[Market Cap],0)</f>
        <v>173</v>
      </c>
      <c r="K175" t="str">
        <f t="shared" si="5"/>
        <v>0-0.5</v>
      </c>
      <c r="L175">
        <f>Cleaned_Data[[#This Row],[1h Change (%)]]*24</f>
        <v>7.9199999999999993E-2</v>
      </c>
      <c r="M175">
        <f>Cleaned_Data[[#This Row],[24h Change (%)]]*7</f>
        <v>0.5544</v>
      </c>
      <c r="N175" t="str" cm="1">
        <f t="array" ref="N175">_xlfn.IFS(Cleaned_Data[[#This Row],[Price (USD)]]&lt;0.05,"0 - 0.05",Cleaned_Data[[#This Row],[Price (USD)]]&lt;0.5,"0.05 - 0.5",Cleaned_Data[[#This Row],[Price (USD)]]&lt;5,"0.5 - 5",Cleaned_Data[[#This Row],[Price (USD)]]&lt;50,"5 - 50",Cleaned_Data[[#This Row],[Price (USD)]]&gt;=50,"&gt; 50")</f>
        <v>0.05 - 0.5</v>
      </c>
      <c r="O175">
        <f>(Cleaned_Data[[#This Row],[1h Change (%)]]+Cleaned_Data[[#This Row],[24h Change (%)]]+Cleaned_Data[[#This Row],[7d Change (%)]])/3</f>
        <v>0.21230000000000002</v>
      </c>
      <c r="P175">
        <f>Cleaned_Data[[#This Row],[Price (USD)]]/(1+Cleaned_Data[[#This Row],[1h Change (%)]]/100)</f>
        <v>5.2198277456843932E-2</v>
      </c>
      <c r="Q175">
        <f>Cleaned_Data[[#This Row],[Price (USD)]]/(1-Cleaned_Data[[#This Row],[24h Change (%)]]/100)</f>
        <v>5.2241375169133956E-2</v>
      </c>
      <c r="R175">
        <f>Cleaned_Data[[#This Row],[Price (USD)]]/(1+Cleaned_Data[[#This Row],[7d Change (%)]]/100)</f>
        <v>5.191219877001902E-2</v>
      </c>
      <c r="S175">
        <f>Cleaned_Data[[#This Row],[Price (USD)]]-Cleaned_Data[[#This Row],[1-Hour Before Price]]</f>
        <v>1.7225431560713433E-6</v>
      </c>
    </row>
    <row r="176" spans="1:19" x14ac:dyDescent="0.3">
      <c r="A176" t="s">
        <v>1165</v>
      </c>
      <c r="B176" t="s">
        <v>1166</v>
      </c>
      <c r="C176">
        <v>0.30230000000000001</v>
      </c>
      <c r="D176">
        <v>4.1000000000000003E-3</v>
      </c>
      <c r="E176">
        <v>2187874</v>
      </c>
      <c r="F176">
        <v>49762</v>
      </c>
      <c r="G176" t="s">
        <v>1170</v>
      </c>
      <c r="H176">
        <v>7230000</v>
      </c>
      <c r="I176">
        <f>Cleaned_Data[[#This Row],[Volume (24h) USD]]/Cleaned_Data[[#This Row],[Circulating_Supply($)]]</f>
        <v>6.8827109266943291E-3</v>
      </c>
      <c r="J176">
        <f>RANK(Cleaned_Data[[#This Row],[Market Cap]],Cleaned_Data[Market Cap],0)</f>
        <v>176</v>
      </c>
      <c r="K176" t="str">
        <f t="shared" si="5"/>
        <v>0-0.5</v>
      </c>
      <c r="L176">
        <f>Cleaned_Data[[#This Row],[1h Change (%)]]*24</f>
        <v>9.8400000000000015E-2</v>
      </c>
      <c r="M176">
        <f>Cleaned_Data[[#This Row],[24h Change (%)]]*7</f>
        <v>0.68880000000000008</v>
      </c>
      <c r="N176" t="str" cm="1">
        <f t="array" ref="N176">_xlfn.IFS(Cleaned_Data[[#This Row],[Price (USD)]]&lt;0.05,"0 - 0.05",Cleaned_Data[[#This Row],[Price (USD)]]&lt;0.5,"0.05 - 0.5",Cleaned_Data[[#This Row],[Price (USD)]]&lt;5,"0.5 - 5",Cleaned_Data[[#This Row],[Price (USD)]]&lt;50,"5 - 50",Cleaned_Data[[#This Row],[Price (USD)]]&gt;=50,"&gt; 50")</f>
        <v>0.05 - 0.5</v>
      </c>
      <c r="O176">
        <f>(Cleaned_Data[[#This Row],[1h Change (%)]]+Cleaned_Data[[#This Row],[24h Change (%)]]+Cleaned_Data[[#This Row],[7d Change (%)]])/3</f>
        <v>0.2637666666666667</v>
      </c>
      <c r="P176">
        <f>Cleaned_Data[[#This Row],[Price (USD)]]/(1+Cleaned_Data[[#This Row],[1h Change (%)]]/100)</f>
        <v>0.30228760620814549</v>
      </c>
      <c r="Q176">
        <f>Cleaned_Data[[#This Row],[Price (USD)]]/(1-Cleaned_Data[[#This Row],[24h Change (%)]]/100)</f>
        <v>0.302597756192093</v>
      </c>
      <c r="R176">
        <f>Cleaned_Data[[#This Row],[Price (USD)]]/(1+Cleaned_Data[[#This Row],[7d Change (%)]]/100)</f>
        <v>0.30023200197042771</v>
      </c>
      <c r="S176">
        <f>Cleaned_Data[[#This Row],[Price (USD)]]-Cleaned_Data[[#This Row],[1-Hour Before Price]]</f>
        <v>1.2393791854525826E-5</v>
      </c>
    </row>
    <row r="177" spans="1:19" x14ac:dyDescent="0.3">
      <c r="A177" t="s">
        <v>1171</v>
      </c>
      <c r="B177" t="s">
        <v>1172</v>
      </c>
      <c r="C177">
        <v>3.7999999999999999E-2</v>
      </c>
      <c r="D177">
        <v>1.1000000000000001E-3</v>
      </c>
      <c r="E177">
        <v>2179537</v>
      </c>
      <c r="F177">
        <v>1268</v>
      </c>
      <c r="G177" t="s">
        <v>1176</v>
      </c>
      <c r="H177">
        <v>57340000</v>
      </c>
      <c r="I177">
        <f>Cleaned_Data[[#This Row],[Volume (24h) USD]]/Cleaned_Data[[#This Row],[Circulating_Supply($)]]</f>
        <v>2.2113707708406001E-5</v>
      </c>
      <c r="J177">
        <f>RANK(Cleaned_Data[[#This Row],[Market Cap]],Cleaned_Data[Market Cap],0)</f>
        <v>177</v>
      </c>
      <c r="K177" t="str">
        <f t="shared" si="5"/>
        <v>0-0.5</v>
      </c>
      <c r="L177">
        <f>Cleaned_Data[[#This Row],[1h Change (%)]]*24</f>
        <v>2.64E-2</v>
      </c>
      <c r="M177">
        <f>Cleaned_Data[[#This Row],[24h Change (%)]]*7</f>
        <v>0.18479999999999999</v>
      </c>
      <c r="N177" t="str" cm="1">
        <f t="array" ref="N177">_xlfn.IFS(Cleaned_Data[[#This Row],[Price (USD)]]&lt;0.05,"0 - 0.05",Cleaned_Data[[#This Row],[Price (USD)]]&lt;0.5,"0.05 - 0.5",Cleaned_Data[[#This Row],[Price (USD)]]&lt;5,"0.5 - 5",Cleaned_Data[[#This Row],[Price (USD)]]&lt;50,"5 - 50",Cleaned_Data[[#This Row],[Price (USD)]]&gt;=50,"&gt; 50")</f>
        <v>0 - 0.05</v>
      </c>
      <c r="O177">
        <f>(Cleaned_Data[[#This Row],[1h Change (%)]]+Cleaned_Data[[#This Row],[24h Change (%)]]+Cleaned_Data[[#This Row],[7d Change (%)]])/3</f>
        <v>7.0766666666666658E-2</v>
      </c>
      <c r="P177">
        <f>Cleaned_Data[[#This Row],[Price (USD)]]/(1+Cleaned_Data[[#This Row],[1h Change (%)]]/100)</f>
        <v>3.7999582004597951E-2</v>
      </c>
      <c r="Q177">
        <f>Cleaned_Data[[#This Row],[Price (USD)]]/(1-Cleaned_Data[[#This Row],[24h Change (%)]]/100)</f>
        <v>3.8010034649147373E-2</v>
      </c>
      <c r="R177">
        <f>Cleaned_Data[[#This Row],[Price (USD)]]/(1+Cleaned_Data[[#This Row],[7d Change (%)]]/100)</f>
        <v>3.7929905534572109E-2</v>
      </c>
      <c r="S177">
        <f>Cleaned_Data[[#This Row],[Price (USD)]]-Cleaned_Data[[#This Row],[1-Hour Before Price]]</f>
        <v>4.1799540204806584E-7</v>
      </c>
    </row>
    <row r="178" spans="1:19" x14ac:dyDescent="0.3">
      <c r="A178" t="s">
        <v>1177</v>
      </c>
      <c r="B178" t="s">
        <v>1178</v>
      </c>
      <c r="C178">
        <v>8.3599999999999994E-2</v>
      </c>
      <c r="D178">
        <v>1.0500000000000001E-2</v>
      </c>
      <c r="E178">
        <v>2178852</v>
      </c>
      <c r="F178">
        <v>3030</v>
      </c>
      <c r="G178" t="s">
        <v>1183</v>
      </c>
      <c r="H178">
        <v>599880000000000</v>
      </c>
      <c r="I178">
        <f>Cleaned_Data[[#This Row],[Volume (24h) USD]]/Cleaned_Data[[#This Row],[Circulating_Supply($)]]</f>
        <v>5.0510102020404078E-12</v>
      </c>
      <c r="J178">
        <f>RANK(Cleaned_Data[[#This Row],[Market Cap]],Cleaned_Data[Market Cap],0)</f>
        <v>178</v>
      </c>
      <c r="K178" t="str">
        <f t="shared" si="5"/>
        <v>0-0.5</v>
      </c>
      <c r="L178">
        <f>Cleaned_Data[[#This Row],[1h Change (%)]]*24</f>
        <v>0.252</v>
      </c>
      <c r="M178">
        <f>Cleaned_Data[[#This Row],[24h Change (%)]]*7</f>
        <v>1.764</v>
      </c>
      <c r="N178" t="str" cm="1">
        <f t="array" ref="N178">_xlfn.IFS(Cleaned_Data[[#This Row],[Price (USD)]]&lt;0.05,"0 - 0.05",Cleaned_Data[[#This Row],[Price (USD)]]&lt;0.5,"0.05 - 0.5",Cleaned_Data[[#This Row],[Price (USD)]]&lt;5,"0.5 - 5",Cleaned_Data[[#This Row],[Price (USD)]]&lt;50,"5 - 50",Cleaned_Data[[#This Row],[Price (USD)]]&gt;=50,"&gt; 50")</f>
        <v>0.05 - 0.5</v>
      </c>
      <c r="O178">
        <f>(Cleaned_Data[[#This Row],[1h Change (%)]]+Cleaned_Data[[#This Row],[24h Change (%)]]+Cleaned_Data[[#This Row],[7d Change (%)]])/3</f>
        <v>0.67549999999999999</v>
      </c>
      <c r="P178">
        <f>Cleaned_Data[[#This Row],[Price (USD)]]/(1+Cleaned_Data[[#This Row],[1h Change (%)]]/100)</f>
        <v>8.3591222921593225E-2</v>
      </c>
      <c r="Q178">
        <f>Cleaned_Data[[#This Row],[Price (USD)]]/(1-Cleaned_Data[[#This Row],[24h Change (%)]]/100)</f>
        <v>8.3811204234671366E-2</v>
      </c>
      <c r="R178">
        <f>Cleaned_Data[[#This Row],[Price (USD)]]/(1+Cleaned_Data[[#This Row],[7d Change (%)]]/100)</f>
        <v>8.2150858849887959E-2</v>
      </c>
      <c r="S178">
        <f>Cleaned_Data[[#This Row],[Price (USD)]]-Cleaned_Data[[#This Row],[1-Hour Before Price]]</f>
        <v>8.777078406768668E-6</v>
      </c>
    </row>
    <row r="179" spans="1:19" x14ac:dyDescent="0.3">
      <c r="A179" t="s">
        <v>1184</v>
      </c>
      <c r="B179" t="s">
        <v>1185</v>
      </c>
      <c r="C179">
        <v>3.3E-3</v>
      </c>
      <c r="D179">
        <v>1.83E-2</v>
      </c>
      <c r="E179">
        <v>2188825</v>
      </c>
      <c r="F179">
        <v>69711</v>
      </c>
      <c r="G179" t="s">
        <v>1190</v>
      </c>
      <c r="H179">
        <v>671090000</v>
      </c>
      <c r="I179">
        <f>Cleaned_Data[[#This Row],[Volume (24h) USD]]/Cleaned_Data[[#This Row],[Circulating_Supply($)]]</f>
        <v>1.0387727428511824E-4</v>
      </c>
      <c r="J179">
        <f>RANK(Cleaned_Data[[#This Row],[Market Cap]],Cleaned_Data[Market Cap],0)</f>
        <v>175</v>
      </c>
      <c r="K179" t="str">
        <f t="shared" si="5"/>
        <v>0-0.5</v>
      </c>
      <c r="L179">
        <f>Cleaned_Data[[#This Row],[1h Change (%)]]*24</f>
        <v>0.43920000000000003</v>
      </c>
      <c r="M179">
        <f>Cleaned_Data[[#This Row],[24h Change (%)]]*7</f>
        <v>3.0744000000000002</v>
      </c>
      <c r="N179" t="str" cm="1">
        <f t="array" ref="N179">_xlfn.IFS(Cleaned_Data[[#This Row],[Price (USD)]]&lt;0.05,"0 - 0.05",Cleaned_Data[[#This Row],[Price (USD)]]&lt;0.5,"0.05 - 0.5",Cleaned_Data[[#This Row],[Price (USD)]]&lt;5,"0.5 - 5",Cleaned_Data[[#This Row],[Price (USD)]]&lt;50,"5 - 50",Cleaned_Data[[#This Row],[Price (USD)]]&gt;=50,"&gt; 50")</f>
        <v>0 - 0.05</v>
      </c>
      <c r="O179">
        <f>(Cleaned_Data[[#This Row],[1h Change (%)]]+Cleaned_Data[[#This Row],[24h Change (%)]]+Cleaned_Data[[#This Row],[7d Change (%)]])/3</f>
        <v>1.1773</v>
      </c>
      <c r="P179">
        <f>Cleaned_Data[[#This Row],[Price (USD)]]/(1+Cleaned_Data[[#This Row],[1h Change (%)]]/100)</f>
        <v>3.2993962104934794E-3</v>
      </c>
      <c r="Q179">
        <f>Cleaned_Data[[#This Row],[Price (USD)]]/(1-Cleaned_Data[[#This Row],[24h Change (%)]]/100)</f>
        <v>3.3145575367011914E-3</v>
      </c>
      <c r="R179">
        <f>Cleaned_Data[[#This Row],[Price (USD)]]/(1+Cleaned_Data[[#This Row],[7d Change (%)]]/100)</f>
        <v>3.2015709041236231E-3</v>
      </c>
      <c r="S179">
        <f>Cleaned_Data[[#This Row],[Price (USD)]]-Cleaned_Data[[#This Row],[1-Hour Before Price]]</f>
        <v>6.0378950652055161E-7</v>
      </c>
    </row>
    <row r="180" spans="1:19" x14ac:dyDescent="0.3">
      <c r="A180" t="s">
        <v>1195</v>
      </c>
      <c r="B180" t="s">
        <v>1196</v>
      </c>
      <c r="C180">
        <v>2.0400000000000001E-2</v>
      </c>
      <c r="D180">
        <v>2.9999999999999997E-4</v>
      </c>
      <c r="E180">
        <v>1756805</v>
      </c>
      <c r="F180">
        <v>90761</v>
      </c>
      <c r="G180" t="s">
        <v>1200</v>
      </c>
      <c r="H180">
        <v>86060000</v>
      </c>
      <c r="I180">
        <f>Cleaned_Data[[#This Row],[Volume (24h) USD]]/Cleaned_Data[[#This Row],[Circulating_Supply($)]]</f>
        <v>1.0546246804554961E-3</v>
      </c>
      <c r="J180">
        <f>RANK(Cleaned_Data[[#This Row],[Market Cap]],Cleaned_Data[Market Cap],0)</f>
        <v>179</v>
      </c>
      <c r="K180" t="str">
        <f t="shared" si="5"/>
        <v>0-0.5</v>
      </c>
      <c r="L180">
        <f>Cleaned_Data[[#This Row],[1h Change (%)]]*24</f>
        <v>7.1999999999999998E-3</v>
      </c>
      <c r="M180">
        <f>Cleaned_Data[[#This Row],[24h Change (%)]]*7</f>
        <v>5.04E-2</v>
      </c>
      <c r="N180" t="str" cm="1">
        <f t="array" ref="N180">_xlfn.IFS(Cleaned_Data[[#This Row],[Price (USD)]]&lt;0.05,"0 - 0.05",Cleaned_Data[[#This Row],[Price (USD)]]&lt;0.5,"0.05 - 0.5",Cleaned_Data[[#This Row],[Price (USD)]]&lt;5,"0.5 - 5",Cleaned_Data[[#This Row],[Price (USD)]]&lt;50,"5 - 50",Cleaned_Data[[#This Row],[Price (USD)]]&gt;=50,"&gt; 50")</f>
        <v>0 - 0.05</v>
      </c>
      <c r="O180">
        <f>(Cleaned_Data[[#This Row],[1h Change (%)]]+Cleaned_Data[[#This Row],[24h Change (%)]]+Cleaned_Data[[#This Row],[7d Change (%)]])/3</f>
        <v>1.9300000000000001E-2</v>
      </c>
      <c r="P180">
        <f>Cleaned_Data[[#This Row],[Price (USD)]]/(1+Cleaned_Data[[#This Row],[1h Change (%)]]/100)</f>
        <v>2.0399938800183603E-2</v>
      </c>
      <c r="Q180">
        <f>Cleaned_Data[[#This Row],[Price (USD)]]/(1-Cleaned_Data[[#This Row],[24h Change (%)]]/100)</f>
        <v>2.0401468905761215E-2</v>
      </c>
      <c r="R180">
        <f>Cleaned_Data[[#This Row],[Price (USD)]]/(1+Cleaned_Data[[#This Row],[7d Change (%)]]/100)</f>
        <v>2.0389723579316024E-2</v>
      </c>
      <c r="S180">
        <f>Cleaned_Data[[#This Row],[Price (USD)]]-Cleaned_Data[[#This Row],[1-Hour Before Price]]</f>
        <v>6.1199816398654905E-8</v>
      </c>
    </row>
    <row r="181" spans="1:19" x14ac:dyDescent="0.3">
      <c r="A181" t="s">
        <v>1201</v>
      </c>
      <c r="B181" t="s">
        <v>1202</v>
      </c>
      <c r="C181">
        <v>1.8E-3</v>
      </c>
      <c r="D181">
        <v>4.2700000000000002E-2</v>
      </c>
      <c r="E181">
        <v>1755788</v>
      </c>
      <c r="F181">
        <v>403029</v>
      </c>
      <c r="G181" t="s">
        <v>318</v>
      </c>
      <c r="H181">
        <v>999990000</v>
      </c>
      <c r="I181">
        <f>Cleaned_Data[[#This Row],[Volume (24h) USD]]/Cleaned_Data[[#This Row],[Circulating_Supply($)]]</f>
        <v>4.0303303033030328E-4</v>
      </c>
      <c r="J181">
        <f>RANK(Cleaned_Data[[#This Row],[Market Cap]],Cleaned_Data[Market Cap],0)</f>
        <v>180</v>
      </c>
      <c r="K181" t="str">
        <f t="shared" si="5"/>
        <v>0-0.5</v>
      </c>
      <c r="L181">
        <f>Cleaned_Data[[#This Row],[1h Change (%)]]*24</f>
        <v>1.0247999999999999</v>
      </c>
      <c r="M181">
        <f>Cleaned_Data[[#This Row],[24h Change (%)]]*7</f>
        <v>7.1735999999999995</v>
      </c>
      <c r="N181" t="str" cm="1">
        <f t="array" ref="N181">_xlfn.IFS(Cleaned_Data[[#This Row],[Price (USD)]]&lt;0.05,"0 - 0.05",Cleaned_Data[[#This Row],[Price (USD)]]&lt;0.5,"0.05 - 0.5",Cleaned_Data[[#This Row],[Price (USD)]]&lt;5,"0.5 - 5",Cleaned_Data[[#This Row],[Price (USD)]]&lt;50,"5 - 50",Cleaned_Data[[#This Row],[Price (USD)]]&gt;=50,"&gt; 50")</f>
        <v>0 - 0.05</v>
      </c>
      <c r="O181">
        <f>(Cleaned_Data[[#This Row],[1h Change (%)]]+Cleaned_Data[[#This Row],[24h Change (%)]]+Cleaned_Data[[#This Row],[7d Change (%)]])/3</f>
        <v>2.747033333333333</v>
      </c>
      <c r="P181">
        <f>Cleaned_Data[[#This Row],[Price (USD)]]/(1+Cleaned_Data[[#This Row],[1h Change (%)]]/100)</f>
        <v>1.7992317280521217E-3</v>
      </c>
      <c r="Q181">
        <f>Cleaned_Data[[#This Row],[Price (USD)]]/(1-Cleaned_Data[[#This Row],[24h Change (%)]]/100)</f>
        <v>1.8186373960345623E-3</v>
      </c>
      <c r="R181">
        <f>Cleaned_Data[[#This Row],[Price (USD)]]/(1+Cleaned_Data[[#This Row],[7d Change (%)]]/100)</f>
        <v>1.6795180902759634E-3</v>
      </c>
      <c r="S181">
        <f>Cleaned_Data[[#This Row],[Price (USD)]]-Cleaned_Data[[#This Row],[1-Hour Before Price]]</f>
        <v>7.6827194787822822E-7</v>
      </c>
    </row>
    <row r="182" spans="1:19" x14ac:dyDescent="0.3">
      <c r="A182" t="s">
        <v>1207</v>
      </c>
      <c r="B182" t="s">
        <v>1208</v>
      </c>
      <c r="C182">
        <v>3.3799999999999997E-2</v>
      </c>
      <c r="D182">
        <v>7.4000000000000003E-3</v>
      </c>
      <c r="E182">
        <v>1754868</v>
      </c>
      <c r="F182">
        <v>637</v>
      </c>
      <c r="G182" t="s">
        <v>1212</v>
      </c>
      <c r="H182">
        <v>51980000</v>
      </c>
      <c r="I182">
        <f>Cleaned_Data[[#This Row],[Volume (24h) USD]]/Cleaned_Data[[#This Row],[Circulating_Supply($)]]</f>
        <v>1.2254713351288958E-5</v>
      </c>
      <c r="J182">
        <f>RANK(Cleaned_Data[[#This Row],[Market Cap]],Cleaned_Data[Market Cap],0)</f>
        <v>181</v>
      </c>
      <c r="K182" t="str">
        <f t="shared" si="5"/>
        <v>0-0.5</v>
      </c>
      <c r="L182">
        <f>Cleaned_Data[[#This Row],[1h Change (%)]]*24</f>
        <v>0.17760000000000001</v>
      </c>
      <c r="M182">
        <f>Cleaned_Data[[#This Row],[24h Change (%)]]*7</f>
        <v>1.2432000000000001</v>
      </c>
      <c r="N182" t="str" cm="1">
        <f t="array" ref="N182">_xlfn.IFS(Cleaned_Data[[#This Row],[Price (USD)]]&lt;0.05,"0 - 0.05",Cleaned_Data[[#This Row],[Price (USD)]]&lt;0.5,"0.05 - 0.5",Cleaned_Data[[#This Row],[Price (USD)]]&lt;5,"0.5 - 5",Cleaned_Data[[#This Row],[Price (USD)]]&lt;50,"5 - 50",Cleaned_Data[[#This Row],[Price (USD)]]&gt;=50,"&gt; 50")</f>
        <v>0 - 0.05</v>
      </c>
      <c r="O182">
        <f>(Cleaned_Data[[#This Row],[1h Change (%)]]+Cleaned_Data[[#This Row],[24h Change (%)]]+Cleaned_Data[[#This Row],[7d Change (%)]])/3</f>
        <v>0.47606666666666669</v>
      </c>
      <c r="P182">
        <f>Cleaned_Data[[#This Row],[Price (USD)]]/(1+Cleaned_Data[[#This Row],[1h Change (%)]]/100)</f>
        <v>3.3797498985075107E-2</v>
      </c>
      <c r="Q182">
        <f>Cleaned_Data[[#This Row],[Price (USD)]]/(1-Cleaned_Data[[#This Row],[24h Change (%)]]/100)</f>
        <v>3.3860135600827068E-2</v>
      </c>
      <c r="R182">
        <f>Cleaned_Data[[#This Row],[Price (USD)]]/(1+Cleaned_Data[[#This Row],[7d Change (%)]]/100)</f>
        <v>3.33849581996618E-2</v>
      </c>
      <c r="S182">
        <f>Cleaned_Data[[#This Row],[Price (USD)]]-Cleaned_Data[[#This Row],[1-Hour Before Price]]</f>
        <v>2.5010149248896885E-6</v>
      </c>
    </row>
    <row r="183" spans="1:19" x14ac:dyDescent="0.3">
      <c r="A183" t="s">
        <v>1213</v>
      </c>
      <c r="B183" t="s">
        <v>1214</v>
      </c>
      <c r="C183">
        <v>1.5900000000000001E-2</v>
      </c>
      <c r="D183">
        <v>1.4E-3</v>
      </c>
      <c r="E183">
        <v>1752254</v>
      </c>
      <c r="F183">
        <v>73794</v>
      </c>
      <c r="G183" t="s">
        <v>1218</v>
      </c>
      <c r="H183">
        <v>110370000</v>
      </c>
      <c r="I183">
        <f>Cleaned_Data[[#This Row],[Volume (24h) USD]]/Cleaned_Data[[#This Row],[Circulating_Supply($)]]</f>
        <v>6.6860559934764884E-4</v>
      </c>
      <c r="J183">
        <f>RANK(Cleaned_Data[[#This Row],[Market Cap]],Cleaned_Data[Market Cap],0)</f>
        <v>182</v>
      </c>
      <c r="K183" t="str">
        <f t="shared" si="5"/>
        <v>0-0.5</v>
      </c>
      <c r="L183">
        <f>Cleaned_Data[[#This Row],[1h Change (%)]]*24</f>
        <v>3.3599999999999998E-2</v>
      </c>
      <c r="M183">
        <f>Cleaned_Data[[#This Row],[24h Change (%)]]*7</f>
        <v>0.23519999999999999</v>
      </c>
      <c r="N183" t="str" cm="1">
        <f t="array" ref="N183">_xlfn.IFS(Cleaned_Data[[#This Row],[Price (USD)]]&lt;0.05,"0 - 0.05",Cleaned_Data[[#This Row],[Price (USD)]]&lt;0.5,"0.05 - 0.5",Cleaned_Data[[#This Row],[Price (USD)]]&lt;5,"0.5 - 5",Cleaned_Data[[#This Row],[Price (USD)]]&lt;50,"5 - 50",Cleaned_Data[[#This Row],[Price (USD)]]&gt;=50,"&gt; 50")</f>
        <v>0 - 0.05</v>
      </c>
      <c r="O183">
        <f>(Cleaned_Data[[#This Row],[1h Change (%)]]+Cleaned_Data[[#This Row],[24h Change (%)]]+Cleaned_Data[[#This Row],[7d Change (%)]])/3</f>
        <v>9.006666666666667E-2</v>
      </c>
      <c r="P183">
        <f>Cleaned_Data[[#This Row],[Price (USD)]]/(1+Cleaned_Data[[#This Row],[1h Change (%)]]/100)</f>
        <v>1.5899777403116357E-2</v>
      </c>
      <c r="Q183">
        <f>Cleaned_Data[[#This Row],[Price (USD)]]/(1-Cleaned_Data[[#This Row],[24h Change (%)]]/100)</f>
        <v>1.5905344195649738E-2</v>
      </c>
      <c r="R183">
        <f>Cleaned_Data[[#This Row],[Price (USD)]]/(1+Cleaned_Data[[#This Row],[7d Change (%)]]/100)</f>
        <v>1.5862690950883523E-2</v>
      </c>
      <c r="S183">
        <f>Cleaned_Data[[#This Row],[Price (USD)]]-Cleaned_Data[[#This Row],[1-Hour Before Price]]</f>
        <v>2.2259688364431596E-7</v>
      </c>
    </row>
    <row r="184" spans="1:19" x14ac:dyDescent="0.3">
      <c r="A184" t="s">
        <v>1219</v>
      </c>
      <c r="B184" t="s">
        <v>1220</v>
      </c>
      <c r="C184">
        <v>6.6E-3</v>
      </c>
      <c r="D184">
        <v>1.2999999999999999E-3</v>
      </c>
      <c r="E184">
        <v>1747236</v>
      </c>
      <c r="F184">
        <v>99738</v>
      </c>
      <c r="G184" t="s">
        <v>1224</v>
      </c>
      <c r="H184">
        <v>266690000</v>
      </c>
      <c r="I184">
        <f>Cleaned_Data[[#This Row],[Volume (24h) USD]]/Cleaned_Data[[#This Row],[Circulating_Supply($)]]</f>
        <v>3.7398477633207095E-4</v>
      </c>
      <c r="J184">
        <f>RANK(Cleaned_Data[[#This Row],[Market Cap]],Cleaned_Data[Market Cap],0)</f>
        <v>183</v>
      </c>
      <c r="K184" t="str">
        <f t="shared" si="5"/>
        <v>0-0.5</v>
      </c>
      <c r="L184">
        <f>Cleaned_Data[[#This Row],[1h Change (%)]]*24</f>
        <v>3.1199999999999999E-2</v>
      </c>
      <c r="M184">
        <f>Cleaned_Data[[#This Row],[24h Change (%)]]*7</f>
        <v>0.21839999999999998</v>
      </c>
      <c r="N184" t="str" cm="1">
        <f t="array" ref="N184">_xlfn.IFS(Cleaned_Data[[#This Row],[Price (USD)]]&lt;0.05,"0 - 0.05",Cleaned_Data[[#This Row],[Price (USD)]]&lt;0.5,"0.05 - 0.5",Cleaned_Data[[#This Row],[Price (USD)]]&lt;5,"0.5 - 5",Cleaned_Data[[#This Row],[Price (USD)]]&lt;50,"5 - 50",Cleaned_Data[[#This Row],[Price (USD)]]&gt;=50,"&gt; 50")</f>
        <v>0 - 0.05</v>
      </c>
      <c r="O184">
        <f>(Cleaned_Data[[#This Row],[1h Change (%)]]+Cleaned_Data[[#This Row],[24h Change (%)]]+Cleaned_Data[[#This Row],[7d Change (%)]])/3</f>
        <v>8.3633333333333337E-2</v>
      </c>
      <c r="P184">
        <f>Cleaned_Data[[#This Row],[Price (USD)]]/(1+Cleaned_Data[[#This Row],[1h Change (%)]]/100)</f>
        <v>6.5999142011153849E-3</v>
      </c>
      <c r="Q184">
        <f>Cleaned_Data[[#This Row],[Price (USD)]]/(1-Cleaned_Data[[#This Row],[24h Change (%)]]/100)</f>
        <v>6.6020598426709135E-3</v>
      </c>
      <c r="R184">
        <f>Cleaned_Data[[#This Row],[Price (USD)]]/(1+Cleaned_Data[[#This Row],[7d Change (%)]]/100)</f>
        <v>6.5856170124448206E-3</v>
      </c>
      <c r="S184">
        <f>Cleaned_Data[[#This Row],[Price (USD)]]-Cleaned_Data[[#This Row],[1-Hour Before Price]]</f>
        <v>8.5798884615073678E-8</v>
      </c>
    </row>
    <row r="185" spans="1:19" x14ac:dyDescent="0.3">
      <c r="A185" t="s">
        <v>1225</v>
      </c>
      <c r="B185" t="s">
        <v>1226</v>
      </c>
      <c r="C185">
        <v>1.1000000000000001E-3</v>
      </c>
      <c r="D185">
        <v>5.7999999999999996E-3</v>
      </c>
      <c r="E185">
        <v>1745226</v>
      </c>
      <c r="F185">
        <v>57798</v>
      </c>
      <c r="G185" t="s">
        <v>113</v>
      </c>
      <c r="H185">
        <v>1600000000</v>
      </c>
      <c r="I185">
        <f>Cleaned_Data[[#This Row],[Volume (24h) USD]]/Cleaned_Data[[#This Row],[Circulating_Supply($)]]</f>
        <v>3.6123749999999998E-5</v>
      </c>
      <c r="J185">
        <f>RANK(Cleaned_Data[[#This Row],[Market Cap]],Cleaned_Data[Market Cap],0)</f>
        <v>184</v>
      </c>
      <c r="K185" t="str">
        <f t="shared" si="5"/>
        <v>0-0.5</v>
      </c>
      <c r="L185">
        <f>Cleaned_Data[[#This Row],[1h Change (%)]]*24</f>
        <v>0.13919999999999999</v>
      </c>
      <c r="M185">
        <f>Cleaned_Data[[#This Row],[24h Change (%)]]*7</f>
        <v>0.97439999999999993</v>
      </c>
      <c r="N185" t="str" cm="1">
        <f t="array" ref="N185">_xlfn.IFS(Cleaned_Data[[#This Row],[Price (USD)]]&lt;0.05,"0 - 0.05",Cleaned_Data[[#This Row],[Price (USD)]]&lt;0.5,"0.05 - 0.5",Cleaned_Data[[#This Row],[Price (USD)]]&lt;5,"0.5 - 5",Cleaned_Data[[#This Row],[Price (USD)]]&lt;50,"5 - 50",Cleaned_Data[[#This Row],[Price (USD)]]&gt;=50,"&gt; 50")</f>
        <v>0 - 0.05</v>
      </c>
      <c r="O185">
        <f>(Cleaned_Data[[#This Row],[1h Change (%)]]+Cleaned_Data[[#This Row],[24h Change (%)]]+Cleaned_Data[[#This Row],[7d Change (%)]])/3</f>
        <v>0.37313333333333332</v>
      </c>
      <c r="P185">
        <f>Cleaned_Data[[#This Row],[Price (USD)]]/(1+Cleaned_Data[[#This Row],[1h Change (%)]]/100)</f>
        <v>1.0999362037001856E-3</v>
      </c>
      <c r="Q185">
        <f>Cleaned_Data[[#This Row],[Price (USD)]]/(1-Cleaned_Data[[#This Row],[24h Change (%)]]/100)</f>
        <v>1.1015333344014868E-3</v>
      </c>
      <c r="R185">
        <f>Cleaned_Data[[#This Row],[Price (USD)]]/(1+Cleaned_Data[[#This Row],[7d Change (%)]]/100)</f>
        <v>1.089385032245797E-3</v>
      </c>
      <c r="S185">
        <f>Cleaned_Data[[#This Row],[Price (USD)]]-Cleaned_Data[[#This Row],[1-Hour Before Price]]</f>
        <v>6.3796299814514873E-8</v>
      </c>
    </row>
    <row r="186" spans="1:19" x14ac:dyDescent="0.3">
      <c r="A186" t="s">
        <v>1231</v>
      </c>
      <c r="B186" t="s">
        <v>1232</v>
      </c>
      <c r="C186">
        <v>1E-4</v>
      </c>
      <c r="D186">
        <v>2.0000000000000001E-4</v>
      </c>
      <c r="E186">
        <v>1739324</v>
      </c>
      <c r="F186">
        <v>28022</v>
      </c>
      <c r="G186" t="s">
        <v>1236</v>
      </c>
      <c r="H186">
        <v>29700000000</v>
      </c>
      <c r="I186">
        <f>Cleaned_Data[[#This Row],[Volume (24h) USD]]/Cleaned_Data[[#This Row],[Circulating_Supply($)]]</f>
        <v>9.4350168350168355E-7</v>
      </c>
      <c r="J186">
        <f>RANK(Cleaned_Data[[#This Row],[Market Cap]],Cleaned_Data[Market Cap],0)</f>
        <v>185</v>
      </c>
      <c r="K186" t="str">
        <f t="shared" si="5"/>
        <v>0-0.5</v>
      </c>
      <c r="L186">
        <f>Cleaned_Data[[#This Row],[1h Change (%)]]*24</f>
        <v>4.8000000000000004E-3</v>
      </c>
      <c r="M186">
        <f>Cleaned_Data[[#This Row],[24h Change (%)]]*7</f>
        <v>3.3600000000000005E-2</v>
      </c>
      <c r="N186" t="str" cm="1">
        <f t="array" ref="N186">_xlfn.IFS(Cleaned_Data[[#This Row],[Price (USD)]]&lt;0.05,"0 - 0.05",Cleaned_Data[[#This Row],[Price (USD)]]&lt;0.5,"0.05 - 0.5",Cleaned_Data[[#This Row],[Price (USD)]]&lt;5,"0.5 - 5",Cleaned_Data[[#This Row],[Price (USD)]]&lt;50,"5 - 50",Cleaned_Data[[#This Row],[Price (USD)]]&gt;=50,"&gt; 50")</f>
        <v>0 - 0.05</v>
      </c>
      <c r="O186">
        <f>(Cleaned_Data[[#This Row],[1h Change (%)]]+Cleaned_Data[[#This Row],[24h Change (%)]]+Cleaned_Data[[#This Row],[7d Change (%)]])/3</f>
        <v>1.2866666666666667E-2</v>
      </c>
      <c r="P186">
        <f>Cleaned_Data[[#This Row],[Price (USD)]]/(1+Cleaned_Data[[#This Row],[1h Change (%)]]/100)</f>
        <v>9.9999800000399994E-5</v>
      </c>
      <c r="Q186">
        <f>Cleaned_Data[[#This Row],[Price (USD)]]/(1-Cleaned_Data[[#This Row],[24h Change (%)]]/100)</f>
        <v>1.0000480023041107E-4</v>
      </c>
      <c r="R186">
        <f>Cleaned_Data[[#This Row],[Price (USD)]]/(1+Cleaned_Data[[#This Row],[7d Change (%)]]/100)</f>
        <v>9.996641128580798E-5</v>
      </c>
      <c r="S186">
        <f>Cleaned_Data[[#This Row],[Price (USD)]]-Cleaned_Data[[#This Row],[1-Hour Before Price]]</f>
        <v>1.9999960001115206E-10</v>
      </c>
    </row>
    <row r="187" spans="1:19" x14ac:dyDescent="0.3">
      <c r="A187" t="s">
        <v>1237</v>
      </c>
      <c r="B187" t="s">
        <v>1238</v>
      </c>
      <c r="C187">
        <v>7.3000000000000001E-3</v>
      </c>
      <c r="D187">
        <v>0</v>
      </c>
      <c r="E187">
        <v>1738739</v>
      </c>
      <c r="F187">
        <v>52</v>
      </c>
      <c r="G187" t="s">
        <v>1242</v>
      </c>
      <c r="H187">
        <v>239740000</v>
      </c>
      <c r="I187">
        <f>Cleaned_Data[[#This Row],[Volume (24h) USD]]/Cleaned_Data[[#This Row],[Circulating_Supply($)]]</f>
        <v>2.1690164344706766E-7</v>
      </c>
      <c r="J187">
        <f>RANK(Cleaned_Data[[#This Row],[Market Cap]],Cleaned_Data[Market Cap],0)</f>
        <v>186</v>
      </c>
      <c r="K187" t="str">
        <f t="shared" si="5"/>
        <v>0-0.5</v>
      </c>
      <c r="L187">
        <f>Cleaned_Data[[#This Row],[1h Change (%)]]*24</f>
        <v>0</v>
      </c>
      <c r="M187">
        <f>Cleaned_Data[[#This Row],[24h Change (%)]]*7</f>
        <v>0</v>
      </c>
      <c r="N187" t="str" cm="1">
        <f t="array" ref="N187">_xlfn.IFS(Cleaned_Data[[#This Row],[Price (USD)]]&lt;0.05,"0 - 0.05",Cleaned_Data[[#This Row],[Price (USD)]]&lt;0.5,"0.05 - 0.5",Cleaned_Data[[#This Row],[Price (USD)]]&lt;5,"0.5 - 5",Cleaned_Data[[#This Row],[Price (USD)]]&lt;50,"5 - 50",Cleaned_Data[[#This Row],[Price (USD)]]&gt;=50,"&gt; 50")</f>
        <v>0 - 0.05</v>
      </c>
      <c r="O187">
        <f>(Cleaned_Data[[#This Row],[1h Change (%)]]+Cleaned_Data[[#This Row],[24h Change (%)]]+Cleaned_Data[[#This Row],[7d Change (%)]])/3</f>
        <v>0</v>
      </c>
      <c r="P187">
        <f>Cleaned_Data[[#This Row],[Price (USD)]]/(1+Cleaned_Data[[#This Row],[1h Change (%)]]/100)</f>
        <v>7.3000000000000001E-3</v>
      </c>
      <c r="Q187">
        <f>Cleaned_Data[[#This Row],[Price (USD)]]/(1-Cleaned_Data[[#This Row],[24h Change (%)]]/100)</f>
        <v>7.3000000000000001E-3</v>
      </c>
      <c r="R187">
        <f>Cleaned_Data[[#This Row],[Price (USD)]]/(1+Cleaned_Data[[#This Row],[7d Change (%)]]/100)</f>
        <v>7.3000000000000001E-3</v>
      </c>
      <c r="S187">
        <f>Cleaned_Data[[#This Row],[Price (USD)]]-Cleaned_Data[[#This Row],[1-Hour Before Price]]</f>
        <v>0</v>
      </c>
    </row>
    <row r="188" spans="1:19" x14ac:dyDescent="0.3">
      <c r="A188" t="s">
        <v>1243</v>
      </c>
      <c r="B188" t="s">
        <v>1243</v>
      </c>
      <c r="C188">
        <v>1.9E-3</v>
      </c>
      <c r="D188">
        <v>2.5999999999999999E-3</v>
      </c>
      <c r="E188">
        <v>1736200</v>
      </c>
      <c r="F188">
        <v>105335</v>
      </c>
      <c r="G188" t="s">
        <v>1248</v>
      </c>
      <c r="H188">
        <v>927740000</v>
      </c>
      <c r="I188">
        <f>Cleaned_Data[[#This Row],[Volume (24h) USD]]/Cleaned_Data[[#This Row],[Circulating_Supply($)]]</f>
        <v>1.1353935369823442E-4</v>
      </c>
      <c r="J188">
        <f>RANK(Cleaned_Data[[#This Row],[Market Cap]],Cleaned_Data[Market Cap],0)</f>
        <v>187</v>
      </c>
      <c r="K188" t="str">
        <f t="shared" si="5"/>
        <v>0-0.5</v>
      </c>
      <c r="L188">
        <f>Cleaned_Data[[#This Row],[1h Change (%)]]*24</f>
        <v>6.2399999999999997E-2</v>
      </c>
      <c r="M188">
        <f>Cleaned_Data[[#This Row],[24h Change (%)]]*7</f>
        <v>0.43679999999999997</v>
      </c>
      <c r="N188" t="str" cm="1">
        <f t="array" ref="N188">_xlfn.IFS(Cleaned_Data[[#This Row],[Price (USD)]]&lt;0.05,"0 - 0.05",Cleaned_Data[[#This Row],[Price (USD)]]&lt;0.5,"0.05 - 0.5",Cleaned_Data[[#This Row],[Price (USD)]]&lt;5,"0.5 - 5",Cleaned_Data[[#This Row],[Price (USD)]]&lt;50,"5 - 50",Cleaned_Data[[#This Row],[Price (USD)]]&gt;=50,"&gt; 50")</f>
        <v>0 - 0.05</v>
      </c>
      <c r="O188">
        <f>(Cleaned_Data[[#This Row],[1h Change (%)]]+Cleaned_Data[[#This Row],[24h Change (%)]]+Cleaned_Data[[#This Row],[7d Change (%)]])/3</f>
        <v>0.16726666666666667</v>
      </c>
      <c r="P188">
        <f>Cleaned_Data[[#This Row],[Price (USD)]]/(1+Cleaned_Data[[#This Row],[1h Change (%)]]/100)</f>
        <v>1.8999506012843663E-3</v>
      </c>
      <c r="Q188">
        <f>Cleaned_Data[[#This Row],[Price (USD)]]/(1-Cleaned_Data[[#This Row],[24h Change (%)]]/100)</f>
        <v>1.9011863402763323E-3</v>
      </c>
      <c r="R188">
        <f>Cleaned_Data[[#This Row],[Price (USD)]]/(1+Cleaned_Data[[#This Row],[7d Change (%)]]/100)</f>
        <v>1.891736893250283E-3</v>
      </c>
      <c r="S188">
        <f>Cleaned_Data[[#This Row],[Price (USD)]]-Cleaned_Data[[#This Row],[1-Hour Before Price]]</f>
        <v>4.939871563365561E-8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BB60E-1A5D-4FFA-BE44-9E5E1159D6EA}">
  <sheetPr codeName="Sheet3"/>
  <dimension ref="A1:Y190"/>
  <sheetViews>
    <sheetView topLeftCell="C1" zoomScale="39" zoomScaleNormal="131" workbookViewId="0">
      <selection activeCell="N40" sqref="N40:S48"/>
    </sheetView>
  </sheetViews>
  <sheetFormatPr defaultRowHeight="14.4" x14ac:dyDescent="0.3"/>
  <cols>
    <col min="1" max="1" width="20.6640625" bestFit="1" customWidth="1"/>
    <col min="2" max="2" width="17.77734375" bestFit="1" customWidth="1"/>
    <col min="3" max="3" width="36" bestFit="1" customWidth="1"/>
    <col min="15" max="15" width="20.6640625" bestFit="1" customWidth="1"/>
    <col min="16" max="16" width="26.5546875" bestFit="1" customWidth="1"/>
    <col min="18" max="18" width="25.77734375" bestFit="1" customWidth="1"/>
    <col min="20" max="20" width="10.5546875" bestFit="1" customWidth="1"/>
    <col min="21" max="21" width="12" bestFit="1" customWidth="1"/>
    <col min="24" max="24" width="37.109375" bestFit="1" customWidth="1"/>
    <col min="25" max="25" width="25.77734375" bestFit="1" customWidth="1"/>
  </cols>
  <sheetData>
    <row r="1" spans="1:25" x14ac:dyDescent="0.3">
      <c r="A1" s="2" t="s">
        <v>0</v>
      </c>
      <c r="B1" t="s">
        <v>1259</v>
      </c>
      <c r="T1" t="s">
        <v>1258</v>
      </c>
      <c r="U1">
        <f>GETPIVOTDATA("Market Cap",$X$2)</f>
        <v>3562838567434</v>
      </c>
    </row>
    <row r="2" spans="1:25" x14ac:dyDescent="0.3">
      <c r="A2" s="3" t="s">
        <v>7</v>
      </c>
      <c r="B2">
        <v>112396.23</v>
      </c>
      <c r="X2" s="2" t="s">
        <v>0</v>
      </c>
      <c r="Y2" t="s">
        <v>1262</v>
      </c>
    </row>
    <row r="3" spans="1:25" x14ac:dyDescent="0.3">
      <c r="A3" s="3" t="s">
        <v>14</v>
      </c>
      <c r="B3">
        <v>4631.6899999999996</v>
      </c>
      <c r="T3" s="3" t="str">
        <f>X3</f>
        <v>Bitcoin</v>
      </c>
      <c r="U3">
        <f>Y3</f>
        <v>2236591973065</v>
      </c>
      <c r="X3" s="3" t="s">
        <v>7</v>
      </c>
      <c r="Y3">
        <v>2236591973065</v>
      </c>
    </row>
    <row r="4" spans="1:25" x14ac:dyDescent="0.3">
      <c r="A4" s="3" t="s">
        <v>34</v>
      </c>
      <c r="B4">
        <v>864.91</v>
      </c>
      <c r="T4" s="3" t="str">
        <f t="shared" ref="T4:T7" si="0">X4</f>
        <v>Ethereum</v>
      </c>
      <c r="U4">
        <f t="shared" ref="U4:U7" si="1">Y4</f>
        <v>558774287294</v>
      </c>
      <c r="X4" s="3" t="s">
        <v>14</v>
      </c>
      <c r="Y4">
        <v>558774287294</v>
      </c>
    </row>
    <row r="5" spans="1:25" x14ac:dyDescent="0.3">
      <c r="A5" s="3" t="s">
        <v>40</v>
      </c>
      <c r="B5">
        <v>208.97</v>
      </c>
      <c r="T5" s="3" t="str">
        <f t="shared" si="0"/>
        <v>XRP</v>
      </c>
      <c r="U5">
        <f t="shared" si="1"/>
        <v>179761935139</v>
      </c>
      <c r="X5" s="3" t="s">
        <v>21</v>
      </c>
      <c r="Y5">
        <v>179761935139</v>
      </c>
    </row>
    <row r="6" spans="1:25" x14ac:dyDescent="0.3">
      <c r="A6" s="3" t="s">
        <v>81</v>
      </c>
      <c r="B6">
        <v>42.45</v>
      </c>
      <c r="T6" s="3" t="str">
        <f t="shared" si="0"/>
        <v>Tether</v>
      </c>
      <c r="U6">
        <f t="shared" si="1"/>
        <v>167211922205</v>
      </c>
      <c r="X6" s="3" t="s">
        <v>27</v>
      </c>
      <c r="Y6">
        <v>167211922205</v>
      </c>
    </row>
    <row r="7" spans="1:25" x14ac:dyDescent="0.3">
      <c r="A7" s="3" t="s">
        <v>638</v>
      </c>
      <c r="B7">
        <v>16.850000000000001</v>
      </c>
      <c r="T7" s="3" t="str">
        <f t="shared" si="0"/>
        <v>BNB</v>
      </c>
      <c r="U7">
        <f t="shared" si="1"/>
        <v>120460279991</v>
      </c>
      <c r="X7" s="3" t="s">
        <v>34</v>
      </c>
      <c r="Y7">
        <v>120460279991</v>
      </c>
    </row>
    <row r="8" spans="1:25" x14ac:dyDescent="0.3">
      <c r="A8" s="3" t="s">
        <v>365</v>
      </c>
      <c r="B8">
        <v>11.79</v>
      </c>
      <c r="T8" s="3" t="s">
        <v>1263</v>
      </c>
      <c r="U8">
        <f>U1-SUM(U3:U7)</f>
        <v>300038169740</v>
      </c>
      <c r="X8" s="3" t="s">
        <v>40</v>
      </c>
      <c r="Y8">
        <v>112989075044</v>
      </c>
    </row>
    <row r="9" spans="1:25" x14ac:dyDescent="0.3">
      <c r="A9" s="3" t="s">
        <v>378</v>
      </c>
      <c r="B9">
        <v>10.119999999999999</v>
      </c>
      <c r="X9" s="3" t="s">
        <v>47</v>
      </c>
      <c r="Y9">
        <v>69140705171</v>
      </c>
    </row>
    <row r="10" spans="1:25" x14ac:dyDescent="0.3">
      <c r="A10" s="3" t="s">
        <v>926</v>
      </c>
      <c r="B10">
        <v>9.06</v>
      </c>
      <c r="X10" s="3" t="s">
        <v>53</v>
      </c>
      <c r="Y10">
        <v>33418883909</v>
      </c>
    </row>
    <row r="11" spans="1:25" x14ac:dyDescent="0.3">
      <c r="A11" s="3" t="s">
        <v>114</v>
      </c>
      <c r="B11">
        <v>7.42</v>
      </c>
      <c r="X11" s="3" t="s">
        <v>60</v>
      </c>
      <c r="Y11">
        <v>33151724508</v>
      </c>
    </row>
    <row r="12" spans="1:25" x14ac:dyDescent="0.3">
      <c r="A12" s="3" t="s">
        <v>1258</v>
      </c>
      <c r="B12">
        <v>118199.48999999999</v>
      </c>
      <c r="X12" s="3" t="s">
        <v>67</v>
      </c>
      <c r="Y12">
        <v>31055700401</v>
      </c>
    </row>
    <row r="13" spans="1:25" x14ac:dyDescent="0.3">
      <c r="X13" s="3" t="s">
        <v>141</v>
      </c>
      <c r="Y13">
        <v>1982420729</v>
      </c>
    </row>
    <row r="14" spans="1:25" x14ac:dyDescent="0.3">
      <c r="X14" s="3" t="s">
        <v>148</v>
      </c>
      <c r="Y14">
        <v>1955931785</v>
      </c>
    </row>
    <row r="15" spans="1:25" x14ac:dyDescent="0.3">
      <c r="X15" s="3" t="s">
        <v>155</v>
      </c>
      <c r="Y15">
        <v>1253095193</v>
      </c>
    </row>
    <row r="16" spans="1:25" x14ac:dyDescent="0.3">
      <c r="X16" s="3" t="s">
        <v>161</v>
      </c>
      <c r="Y16">
        <v>738956737</v>
      </c>
    </row>
    <row r="17" spans="1:25" x14ac:dyDescent="0.3">
      <c r="X17" s="3" t="s">
        <v>168</v>
      </c>
      <c r="Y17">
        <v>691597867</v>
      </c>
    </row>
    <row r="18" spans="1:25" x14ac:dyDescent="0.3">
      <c r="A18" s="2" t="s">
        <v>0</v>
      </c>
      <c r="B18" t="s">
        <v>1260</v>
      </c>
      <c r="X18" s="3" t="s">
        <v>74</v>
      </c>
      <c r="Y18">
        <v>687657857</v>
      </c>
    </row>
    <row r="19" spans="1:25" x14ac:dyDescent="0.3">
      <c r="A19" s="3" t="s">
        <v>732</v>
      </c>
      <c r="B19">
        <v>2.5999999999999999E-2</v>
      </c>
      <c r="X19" s="3" t="s">
        <v>81</v>
      </c>
      <c r="Y19">
        <v>687228061</v>
      </c>
    </row>
    <row r="20" spans="1:25" x14ac:dyDescent="0.3">
      <c r="A20" s="3" t="s">
        <v>1184</v>
      </c>
      <c r="B20">
        <v>1.83E-2</v>
      </c>
      <c r="X20" s="3" t="s">
        <v>88</v>
      </c>
      <c r="Y20">
        <v>683949558</v>
      </c>
    </row>
    <row r="21" spans="1:25" x14ac:dyDescent="0.3">
      <c r="A21" s="3" t="s">
        <v>1201</v>
      </c>
      <c r="B21">
        <v>4.2700000000000002E-2</v>
      </c>
      <c r="X21" s="3" t="s">
        <v>94</v>
      </c>
      <c r="Y21">
        <v>673440961</v>
      </c>
    </row>
    <row r="22" spans="1:25" x14ac:dyDescent="0.3">
      <c r="A22" s="3" t="s">
        <v>908</v>
      </c>
      <c r="B22">
        <v>2.9399999999999999E-2</v>
      </c>
      <c r="X22" s="3" t="s">
        <v>101</v>
      </c>
      <c r="Y22">
        <v>656968217</v>
      </c>
    </row>
    <row r="23" spans="1:25" x14ac:dyDescent="0.3">
      <c r="A23" s="3" t="s">
        <v>1097</v>
      </c>
      <c r="B23">
        <v>1.66E-2</v>
      </c>
      <c r="X23" s="3" t="s">
        <v>174</v>
      </c>
      <c r="Y23">
        <v>642088143</v>
      </c>
    </row>
    <row r="24" spans="1:25" x14ac:dyDescent="0.3">
      <c r="A24" s="3" t="s">
        <v>859</v>
      </c>
      <c r="B24">
        <v>2.8500000000000001E-2</v>
      </c>
      <c r="X24" s="3" t="s">
        <v>107</v>
      </c>
      <c r="Y24">
        <v>626962319</v>
      </c>
    </row>
    <row r="25" spans="1:25" x14ac:dyDescent="0.3">
      <c r="A25" s="3" t="s">
        <v>739</v>
      </c>
      <c r="B25">
        <v>1.6400000000000001E-2</v>
      </c>
      <c r="X25" s="3" t="s">
        <v>114</v>
      </c>
      <c r="Y25">
        <v>621864440</v>
      </c>
    </row>
    <row r="26" spans="1:25" x14ac:dyDescent="0.3">
      <c r="A26" s="3" t="s">
        <v>1116</v>
      </c>
      <c r="B26">
        <v>1.6199999999999999E-2</v>
      </c>
      <c r="X26" s="3" t="s">
        <v>181</v>
      </c>
      <c r="Y26">
        <v>607020903</v>
      </c>
    </row>
    <row r="27" spans="1:25" x14ac:dyDescent="0.3">
      <c r="A27" s="3" t="s">
        <v>968</v>
      </c>
      <c r="B27">
        <v>3.6900000000000002E-2</v>
      </c>
      <c r="X27" s="3" t="s">
        <v>120</v>
      </c>
      <c r="Y27">
        <v>577405381</v>
      </c>
    </row>
    <row r="28" spans="1:25" x14ac:dyDescent="0.3">
      <c r="A28" s="3" t="s">
        <v>522</v>
      </c>
      <c r="B28">
        <v>2.1600000000000001E-2</v>
      </c>
      <c r="N28" t="s">
        <v>1264</v>
      </c>
      <c r="R28" t="s">
        <v>1262</v>
      </c>
      <c r="X28" s="3" t="s">
        <v>127</v>
      </c>
      <c r="Y28">
        <v>572387192</v>
      </c>
    </row>
    <row r="29" spans="1:25" x14ac:dyDescent="0.3">
      <c r="A29" s="3" t="s">
        <v>1258</v>
      </c>
      <c r="B29">
        <v>0.25259999999999999</v>
      </c>
      <c r="R29">
        <v>3562838567434</v>
      </c>
      <c r="X29" s="3" t="s">
        <v>134</v>
      </c>
      <c r="Y29">
        <v>567782071</v>
      </c>
    </row>
    <row r="30" spans="1:25" x14ac:dyDescent="0.3">
      <c r="N30" t="s">
        <v>1265</v>
      </c>
      <c r="X30" s="3" t="s">
        <v>188</v>
      </c>
      <c r="Y30">
        <v>545355889</v>
      </c>
    </row>
    <row r="31" spans="1:25" x14ac:dyDescent="0.3">
      <c r="R31" t="s">
        <v>1270</v>
      </c>
      <c r="X31" s="3" t="s">
        <v>195</v>
      </c>
      <c r="Y31">
        <v>538269461</v>
      </c>
    </row>
    <row r="32" spans="1:25" x14ac:dyDescent="0.3">
      <c r="N32" t="s">
        <v>1266</v>
      </c>
      <c r="R32">
        <v>118265.22800000003</v>
      </c>
      <c r="X32" s="3" t="s">
        <v>202</v>
      </c>
      <c r="Y32">
        <v>503419749</v>
      </c>
    </row>
    <row r="33" spans="1:25" x14ac:dyDescent="0.3">
      <c r="X33" s="3" t="s">
        <v>209</v>
      </c>
      <c r="Y33">
        <v>136125306</v>
      </c>
    </row>
    <row r="34" spans="1:25" x14ac:dyDescent="0.3">
      <c r="N34" t="s">
        <v>1267</v>
      </c>
      <c r="R34" t="s">
        <v>1271</v>
      </c>
      <c r="X34" s="3" t="s">
        <v>214</v>
      </c>
      <c r="Y34">
        <v>132578463</v>
      </c>
    </row>
    <row r="35" spans="1:25" x14ac:dyDescent="0.3">
      <c r="A35" s="2" t="s">
        <v>1257</v>
      </c>
      <c r="B35" t="s">
        <v>1259</v>
      </c>
      <c r="C35" t="s">
        <v>1261</v>
      </c>
      <c r="R35">
        <v>4437573783149840</v>
      </c>
      <c r="X35" s="3" t="s">
        <v>219</v>
      </c>
      <c r="Y35">
        <v>131915058</v>
      </c>
    </row>
    <row r="36" spans="1:25" x14ac:dyDescent="0.3">
      <c r="A36" s="3" t="s">
        <v>7</v>
      </c>
      <c r="B36">
        <v>112396.23</v>
      </c>
      <c r="C36">
        <v>3073.6519340030136</v>
      </c>
      <c r="N36" t="s">
        <v>1268</v>
      </c>
      <c r="P36" t="str">
        <f>A2</f>
        <v>Bitcoin</v>
      </c>
      <c r="X36" s="3" t="s">
        <v>225</v>
      </c>
      <c r="Y36">
        <v>131880666</v>
      </c>
    </row>
    <row r="37" spans="1:25" x14ac:dyDescent="0.3">
      <c r="A37" s="3" t="s">
        <v>34</v>
      </c>
      <c r="B37">
        <v>864.91</v>
      </c>
      <c r="C37">
        <v>16.360382876220562</v>
      </c>
      <c r="X37" s="3" t="s">
        <v>231</v>
      </c>
      <c r="Y37">
        <v>129554753</v>
      </c>
    </row>
    <row r="38" spans="1:25" x14ac:dyDescent="0.3">
      <c r="A38" s="3" t="s">
        <v>378</v>
      </c>
      <c r="B38">
        <v>10.119999999999999</v>
      </c>
      <c r="C38">
        <v>4.5658226600985223</v>
      </c>
      <c r="N38" t="s">
        <v>1269</v>
      </c>
      <c r="P38">
        <f>B2</f>
        <v>112396.23</v>
      </c>
      <c r="X38" s="3" t="s">
        <v>238</v>
      </c>
      <c r="Y38">
        <v>128872926</v>
      </c>
    </row>
    <row r="39" spans="1:25" x14ac:dyDescent="0.3">
      <c r="A39" s="3" t="s">
        <v>14</v>
      </c>
      <c r="B39">
        <v>4631.6899999999996</v>
      </c>
      <c r="C39">
        <v>362.17572245236124</v>
      </c>
      <c r="X39" s="3" t="s">
        <v>242</v>
      </c>
      <c r="Y39">
        <v>128393361</v>
      </c>
    </row>
    <row r="40" spans="1:25" x14ac:dyDescent="0.3">
      <c r="A40" s="3" t="s">
        <v>1097</v>
      </c>
      <c r="B40">
        <v>2.63</v>
      </c>
      <c r="C40">
        <v>0.62520384615384617</v>
      </c>
      <c r="X40" s="3" t="s">
        <v>249</v>
      </c>
      <c r="Y40">
        <v>128203844</v>
      </c>
    </row>
    <row r="41" spans="1:25" x14ac:dyDescent="0.3">
      <c r="A41" s="3" t="s">
        <v>453</v>
      </c>
      <c r="B41">
        <v>0.249</v>
      </c>
      <c r="C41">
        <v>0.38257109462800631</v>
      </c>
      <c r="X41" s="3" t="s">
        <v>256</v>
      </c>
      <c r="Y41">
        <v>127672149</v>
      </c>
    </row>
    <row r="42" spans="1:25" x14ac:dyDescent="0.3">
      <c r="A42" s="3" t="s">
        <v>40</v>
      </c>
      <c r="B42">
        <v>208.97</v>
      </c>
      <c r="C42">
        <v>18.730564196274994</v>
      </c>
      <c r="X42" s="3" t="s">
        <v>262</v>
      </c>
      <c r="Y42">
        <v>127660598</v>
      </c>
    </row>
    <row r="43" spans="1:25" x14ac:dyDescent="0.3">
      <c r="A43" s="3" t="s">
        <v>771</v>
      </c>
      <c r="B43">
        <v>0.99929999999999997</v>
      </c>
      <c r="C43">
        <v>5.7061885227272731</v>
      </c>
      <c r="X43" s="3" t="s">
        <v>269</v>
      </c>
      <c r="Y43">
        <v>87828987</v>
      </c>
    </row>
    <row r="44" spans="1:25" x14ac:dyDescent="0.3">
      <c r="A44" s="3" t="s">
        <v>27</v>
      </c>
      <c r="B44">
        <v>1</v>
      </c>
      <c r="C44">
        <v>0.70126850046052636</v>
      </c>
      <c r="X44" s="3" t="s">
        <v>276</v>
      </c>
      <c r="Y44">
        <v>87776158</v>
      </c>
    </row>
    <row r="45" spans="1:25" x14ac:dyDescent="0.3">
      <c r="A45" s="3" t="s">
        <v>81</v>
      </c>
      <c r="B45">
        <v>42.45</v>
      </c>
      <c r="C45">
        <v>4.3963110012360938</v>
      </c>
      <c r="X45" s="3" t="s">
        <v>282</v>
      </c>
      <c r="Y45">
        <v>86786092</v>
      </c>
    </row>
    <row r="46" spans="1:25" x14ac:dyDescent="0.3">
      <c r="A46" s="3" t="s">
        <v>1258</v>
      </c>
      <c r="B46">
        <v>118159.24829999999</v>
      </c>
      <c r="C46">
        <v>3487.2959691531746</v>
      </c>
      <c r="X46" s="3" t="s">
        <v>288</v>
      </c>
      <c r="Y46">
        <v>86613592</v>
      </c>
    </row>
    <row r="47" spans="1:25" x14ac:dyDescent="0.3">
      <c r="X47" s="3" t="s">
        <v>300</v>
      </c>
      <c r="Y47">
        <v>86441423</v>
      </c>
    </row>
    <row r="48" spans="1:25" x14ac:dyDescent="0.3">
      <c r="X48" s="3" t="s">
        <v>294</v>
      </c>
      <c r="Y48">
        <v>86345798</v>
      </c>
    </row>
    <row r="49" spans="15:25" x14ac:dyDescent="0.3">
      <c r="X49" s="3" t="s">
        <v>306</v>
      </c>
      <c r="Y49">
        <v>85996731</v>
      </c>
    </row>
    <row r="50" spans="15:25" x14ac:dyDescent="0.3">
      <c r="X50" s="3" t="s">
        <v>312</v>
      </c>
      <c r="Y50">
        <v>85680579</v>
      </c>
    </row>
    <row r="51" spans="15:25" x14ac:dyDescent="0.3">
      <c r="X51" s="3" t="s">
        <v>319</v>
      </c>
      <c r="Y51">
        <v>85436011</v>
      </c>
    </row>
    <row r="52" spans="15:25" x14ac:dyDescent="0.3">
      <c r="X52" s="3" t="s">
        <v>332</v>
      </c>
      <c r="Y52">
        <v>62836837</v>
      </c>
    </row>
    <row r="53" spans="15:25" x14ac:dyDescent="0.3">
      <c r="O53" s="2" t="s">
        <v>0</v>
      </c>
      <c r="P53" t="s">
        <v>1270</v>
      </c>
      <c r="X53" s="3" t="s">
        <v>339</v>
      </c>
      <c r="Y53">
        <v>62825935</v>
      </c>
    </row>
    <row r="54" spans="15:25" x14ac:dyDescent="0.3">
      <c r="O54" s="3" t="s">
        <v>7</v>
      </c>
      <c r="P54">
        <v>112396.23</v>
      </c>
      <c r="X54" s="3" t="s">
        <v>346</v>
      </c>
      <c r="Y54">
        <v>62746080</v>
      </c>
    </row>
    <row r="55" spans="15:25" x14ac:dyDescent="0.3">
      <c r="O55" s="4" t="s">
        <v>8</v>
      </c>
      <c r="P55">
        <v>112396.23</v>
      </c>
      <c r="X55" s="3" t="s">
        <v>352</v>
      </c>
      <c r="Y55">
        <v>62547790</v>
      </c>
    </row>
    <row r="56" spans="15:25" x14ac:dyDescent="0.3">
      <c r="O56" s="3" t="s">
        <v>14</v>
      </c>
      <c r="P56">
        <v>4631.6899999999996</v>
      </c>
      <c r="X56" s="3" t="s">
        <v>358</v>
      </c>
      <c r="Y56">
        <v>62328087</v>
      </c>
    </row>
    <row r="57" spans="15:25" x14ac:dyDescent="0.3">
      <c r="O57" s="4" t="s">
        <v>15</v>
      </c>
      <c r="P57">
        <v>4631.6899999999996</v>
      </c>
      <c r="X57" s="3" t="s">
        <v>365</v>
      </c>
      <c r="Y57">
        <v>62064898</v>
      </c>
    </row>
    <row r="58" spans="15:25" x14ac:dyDescent="0.3">
      <c r="O58" s="3" t="s">
        <v>34</v>
      </c>
      <c r="P58">
        <v>864.91</v>
      </c>
      <c r="X58" s="3" t="s">
        <v>371</v>
      </c>
      <c r="Y58">
        <v>61786840</v>
      </c>
    </row>
    <row r="59" spans="15:25" x14ac:dyDescent="0.3">
      <c r="O59" s="4" t="s">
        <v>34</v>
      </c>
      <c r="P59">
        <v>864.91</v>
      </c>
      <c r="X59" s="3" t="s">
        <v>378</v>
      </c>
      <c r="Y59">
        <v>61648001</v>
      </c>
    </row>
    <row r="60" spans="15:25" x14ac:dyDescent="0.3">
      <c r="O60" s="3" t="s">
        <v>40</v>
      </c>
      <c r="P60">
        <v>208.97</v>
      </c>
      <c r="X60" s="3" t="s">
        <v>384</v>
      </c>
      <c r="Y60">
        <v>61619476</v>
      </c>
    </row>
    <row r="61" spans="15:25" x14ac:dyDescent="0.3">
      <c r="O61" s="4" t="s">
        <v>41</v>
      </c>
      <c r="P61">
        <v>208.97</v>
      </c>
      <c r="X61" s="3" t="s">
        <v>391</v>
      </c>
      <c r="Y61">
        <v>61481343</v>
      </c>
    </row>
    <row r="62" spans="15:25" x14ac:dyDescent="0.3">
      <c r="O62" s="3" t="s">
        <v>81</v>
      </c>
      <c r="P62">
        <v>42.45</v>
      </c>
      <c r="X62" s="3" t="s">
        <v>398</v>
      </c>
      <c r="Y62">
        <v>45704968</v>
      </c>
    </row>
    <row r="63" spans="15:25" x14ac:dyDescent="0.3">
      <c r="O63" s="4" t="s">
        <v>82</v>
      </c>
      <c r="P63">
        <v>42.45</v>
      </c>
      <c r="X63" s="3" t="s">
        <v>1</v>
      </c>
      <c r="Y63">
        <v>45421680</v>
      </c>
    </row>
    <row r="64" spans="15:25" x14ac:dyDescent="0.3">
      <c r="O64" s="3" t="s">
        <v>638</v>
      </c>
      <c r="P64">
        <v>16.850000000000001</v>
      </c>
      <c r="X64" s="3" t="s">
        <v>410</v>
      </c>
      <c r="Y64">
        <v>45403740</v>
      </c>
    </row>
    <row r="65" spans="15:25" x14ac:dyDescent="0.3">
      <c r="O65" s="4" t="s">
        <v>639</v>
      </c>
      <c r="P65">
        <v>16.850000000000001</v>
      </c>
      <c r="X65" s="3" t="s">
        <v>416</v>
      </c>
      <c r="Y65">
        <v>45353098</v>
      </c>
    </row>
    <row r="66" spans="15:25" x14ac:dyDescent="0.3">
      <c r="O66" s="3" t="s">
        <v>365</v>
      </c>
      <c r="P66">
        <v>11.79</v>
      </c>
      <c r="X66" s="3" t="s">
        <v>423</v>
      </c>
      <c r="Y66">
        <v>45266206</v>
      </c>
    </row>
    <row r="67" spans="15:25" x14ac:dyDescent="0.3">
      <c r="O67" s="4" t="s">
        <v>366</v>
      </c>
      <c r="P67">
        <v>11.79</v>
      </c>
      <c r="X67" s="3" t="s">
        <v>429</v>
      </c>
      <c r="Y67">
        <v>45071702</v>
      </c>
    </row>
    <row r="68" spans="15:25" x14ac:dyDescent="0.3">
      <c r="O68" s="3" t="s">
        <v>378</v>
      </c>
      <c r="P68">
        <v>10.119999999999999</v>
      </c>
      <c r="X68" s="3" t="s">
        <v>435</v>
      </c>
      <c r="Y68">
        <v>45027836</v>
      </c>
    </row>
    <row r="69" spans="15:25" x14ac:dyDescent="0.3">
      <c r="O69" s="4" t="s">
        <v>379</v>
      </c>
      <c r="P69">
        <v>10.119999999999999</v>
      </c>
      <c r="X69" s="3" t="s">
        <v>446</v>
      </c>
      <c r="Y69">
        <v>44872405</v>
      </c>
    </row>
    <row r="70" spans="15:25" x14ac:dyDescent="0.3">
      <c r="O70" s="3" t="s">
        <v>926</v>
      </c>
      <c r="P70">
        <v>9.06</v>
      </c>
      <c r="X70" s="3" t="s">
        <v>453</v>
      </c>
      <c r="Y70">
        <v>44330157</v>
      </c>
    </row>
    <row r="71" spans="15:25" x14ac:dyDescent="0.3">
      <c r="O71" s="4" t="s">
        <v>927</v>
      </c>
      <c r="P71">
        <v>9.06</v>
      </c>
      <c r="X71" s="3" t="s">
        <v>459</v>
      </c>
      <c r="Y71">
        <v>35354744</v>
      </c>
    </row>
    <row r="72" spans="15:25" x14ac:dyDescent="0.3">
      <c r="O72" s="3" t="s">
        <v>114</v>
      </c>
      <c r="P72">
        <v>7.42</v>
      </c>
      <c r="X72" s="3" t="s">
        <v>1286</v>
      </c>
      <c r="Y72">
        <v>35264904</v>
      </c>
    </row>
    <row r="73" spans="15:25" x14ac:dyDescent="0.3">
      <c r="O73" s="4" t="s">
        <v>115</v>
      </c>
      <c r="P73">
        <v>7.42</v>
      </c>
      <c r="X73" s="3" t="s">
        <v>471</v>
      </c>
      <c r="Y73">
        <v>35141644</v>
      </c>
    </row>
    <row r="74" spans="15:25" x14ac:dyDescent="0.3">
      <c r="O74" s="3" t="s">
        <v>1258</v>
      </c>
      <c r="P74">
        <v>118199.49</v>
      </c>
      <c r="X74" s="3" t="s">
        <v>478</v>
      </c>
      <c r="Y74">
        <v>35138416</v>
      </c>
    </row>
    <row r="75" spans="15:25" x14ac:dyDescent="0.3">
      <c r="X75" s="3" t="s">
        <v>485</v>
      </c>
      <c r="Y75">
        <v>35080411</v>
      </c>
    </row>
    <row r="76" spans="15:25" x14ac:dyDescent="0.3">
      <c r="X76" s="3" t="s">
        <v>491</v>
      </c>
      <c r="Y76">
        <v>35034139</v>
      </c>
    </row>
    <row r="77" spans="15:25" x14ac:dyDescent="0.3">
      <c r="X77" s="3" t="s">
        <v>498</v>
      </c>
      <c r="Y77">
        <v>34972612</v>
      </c>
    </row>
    <row r="78" spans="15:25" x14ac:dyDescent="0.3">
      <c r="X78" s="3" t="s">
        <v>504</v>
      </c>
      <c r="Y78">
        <v>34798359</v>
      </c>
    </row>
    <row r="79" spans="15:25" x14ac:dyDescent="0.3">
      <c r="X79" s="3" t="s">
        <v>510</v>
      </c>
      <c r="Y79">
        <v>34575104</v>
      </c>
    </row>
    <row r="80" spans="15:25" x14ac:dyDescent="0.3">
      <c r="X80" s="3" t="s">
        <v>515</v>
      </c>
      <c r="Y80">
        <v>34508739</v>
      </c>
    </row>
    <row r="81" spans="24:25" x14ac:dyDescent="0.3">
      <c r="X81" s="3" t="s">
        <v>522</v>
      </c>
      <c r="Y81">
        <v>26070319</v>
      </c>
    </row>
    <row r="82" spans="24:25" x14ac:dyDescent="0.3">
      <c r="X82" s="3" t="s">
        <v>528</v>
      </c>
      <c r="Y82">
        <v>26014561</v>
      </c>
    </row>
    <row r="83" spans="24:25" x14ac:dyDescent="0.3">
      <c r="X83" s="3" t="s">
        <v>535</v>
      </c>
      <c r="Y83">
        <v>25922954</v>
      </c>
    </row>
    <row r="84" spans="24:25" x14ac:dyDescent="0.3">
      <c r="X84" s="3" t="s">
        <v>541</v>
      </c>
      <c r="Y84">
        <v>25873467</v>
      </c>
    </row>
    <row r="85" spans="24:25" x14ac:dyDescent="0.3">
      <c r="X85" s="3" t="s">
        <v>548</v>
      </c>
      <c r="Y85">
        <v>25788064</v>
      </c>
    </row>
    <row r="86" spans="24:25" x14ac:dyDescent="0.3">
      <c r="X86" s="3" t="s">
        <v>553</v>
      </c>
      <c r="Y86">
        <v>25759341</v>
      </c>
    </row>
    <row r="87" spans="24:25" x14ac:dyDescent="0.3">
      <c r="X87" s="3" t="s">
        <v>559</v>
      </c>
      <c r="Y87">
        <v>25730460</v>
      </c>
    </row>
    <row r="88" spans="24:25" x14ac:dyDescent="0.3">
      <c r="X88" s="3" t="s">
        <v>565</v>
      </c>
      <c r="Y88">
        <v>25696932</v>
      </c>
    </row>
    <row r="89" spans="24:25" x14ac:dyDescent="0.3">
      <c r="X89" s="3" t="s">
        <v>572</v>
      </c>
      <c r="Y89">
        <v>25507544</v>
      </c>
    </row>
    <row r="90" spans="24:25" x14ac:dyDescent="0.3">
      <c r="X90" s="3" t="s">
        <v>578</v>
      </c>
      <c r="Y90">
        <v>25471481</v>
      </c>
    </row>
    <row r="91" spans="24:25" x14ac:dyDescent="0.3">
      <c r="X91" s="3" t="s">
        <v>584</v>
      </c>
      <c r="Y91">
        <v>18990853</v>
      </c>
    </row>
    <row r="92" spans="24:25" x14ac:dyDescent="0.3">
      <c r="X92" s="3" t="s">
        <v>589</v>
      </c>
      <c r="Y92">
        <v>18961083</v>
      </c>
    </row>
    <row r="93" spans="24:25" x14ac:dyDescent="0.3">
      <c r="X93" s="3" t="s">
        <v>595</v>
      </c>
      <c r="Y93">
        <v>18957669</v>
      </c>
    </row>
    <row r="94" spans="24:25" x14ac:dyDescent="0.3">
      <c r="X94" s="3" t="s">
        <v>601</v>
      </c>
      <c r="Y94">
        <v>18817231</v>
      </c>
    </row>
    <row r="95" spans="24:25" x14ac:dyDescent="0.3">
      <c r="X95" s="3" t="s">
        <v>607</v>
      </c>
      <c r="Y95">
        <v>18668308</v>
      </c>
    </row>
    <row r="96" spans="24:25" x14ac:dyDescent="0.3">
      <c r="X96" s="3" t="s">
        <v>614</v>
      </c>
      <c r="Y96">
        <v>18667205</v>
      </c>
    </row>
    <row r="97" spans="24:25" x14ac:dyDescent="0.3">
      <c r="X97" s="3" t="s">
        <v>620</v>
      </c>
      <c r="Y97">
        <v>18606007</v>
      </c>
    </row>
    <row r="98" spans="24:25" x14ac:dyDescent="0.3">
      <c r="X98" s="3" t="s">
        <v>626</v>
      </c>
      <c r="Y98">
        <v>18591856</v>
      </c>
    </row>
    <row r="99" spans="24:25" x14ac:dyDescent="0.3">
      <c r="X99" s="3" t="s">
        <v>632</v>
      </c>
      <c r="Y99">
        <v>18540898</v>
      </c>
    </row>
    <row r="100" spans="24:25" x14ac:dyDescent="0.3">
      <c r="X100" s="3" t="s">
        <v>638</v>
      </c>
      <c r="Y100">
        <v>18536240</v>
      </c>
    </row>
    <row r="101" spans="24:25" x14ac:dyDescent="0.3">
      <c r="X101" s="3" t="s">
        <v>644</v>
      </c>
      <c r="Y101">
        <v>14785022</v>
      </c>
    </row>
    <row r="102" spans="24:25" x14ac:dyDescent="0.3">
      <c r="X102" s="3" t="s">
        <v>651</v>
      </c>
      <c r="Y102">
        <v>14719301</v>
      </c>
    </row>
    <row r="103" spans="24:25" x14ac:dyDescent="0.3">
      <c r="X103" s="3" t="s">
        <v>657</v>
      </c>
      <c r="Y103">
        <v>14681529</v>
      </c>
    </row>
    <row r="104" spans="24:25" x14ac:dyDescent="0.3">
      <c r="X104" s="3" t="s">
        <v>663</v>
      </c>
      <c r="Y104">
        <v>14616635</v>
      </c>
    </row>
    <row r="105" spans="24:25" x14ac:dyDescent="0.3">
      <c r="X105" s="3" t="s">
        <v>669</v>
      </c>
      <c r="Y105">
        <v>14606826</v>
      </c>
    </row>
    <row r="106" spans="24:25" x14ac:dyDescent="0.3">
      <c r="X106" s="3" t="s">
        <v>675</v>
      </c>
      <c r="Y106">
        <v>14570562</v>
      </c>
    </row>
    <row r="107" spans="24:25" x14ac:dyDescent="0.3">
      <c r="X107" s="3" t="s">
        <v>681</v>
      </c>
      <c r="Y107">
        <v>14516193</v>
      </c>
    </row>
    <row r="108" spans="24:25" x14ac:dyDescent="0.3">
      <c r="X108" s="3" t="s">
        <v>688</v>
      </c>
      <c r="Y108">
        <v>14440722</v>
      </c>
    </row>
    <row r="109" spans="24:25" x14ac:dyDescent="0.3">
      <c r="X109" s="3" t="s">
        <v>693</v>
      </c>
      <c r="Y109">
        <v>14425837</v>
      </c>
    </row>
    <row r="110" spans="24:25" x14ac:dyDescent="0.3">
      <c r="X110" s="3" t="s">
        <v>700</v>
      </c>
      <c r="Y110">
        <v>14389863</v>
      </c>
    </row>
    <row r="111" spans="24:25" x14ac:dyDescent="0.3">
      <c r="X111" s="3" t="s">
        <v>706</v>
      </c>
      <c r="Y111">
        <v>11345859</v>
      </c>
    </row>
    <row r="112" spans="24:25" x14ac:dyDescent="0.3">
      <c r="X112" s="3" t="s">
        <v>713</v>
      </c>
      <c r="Y112">
        <v>11304052</v>
      </c>
    </row>
    <row r="113" spans="24:25" x14ac:dyDescent="0.3">
      <c r="X113" s="3" t="s">
        <v>720</v>
      </c>
      <c r="Y113">
        <v>11274163</v>
      </c>
    </row>
    <row r="114" spans="24:25" x14ac:dyDescent="0.3">
      <c r="X114" s="3" t="s">
        <v>726</v>
      </c>
      <c r="Y114">
        <v>11243721</v>
      </c>
    </row>
    <row r="115" spans="24:25" x14ac:dyDescent="0.3">
      <c r="X115" s="3" t="s">
        <v>739</v>
      </c>
      <c r="Y115">
        <v>11184297</v>
      </c>
    </row>
    <row r="116" spans="24:25" x14ac:dyDescent="0.3">
      <c r="X116" s="3" t="s">
        <v>732</v>
      </c>
      <c r="Y116">
        <v>11181505</v>
      </c>
    </row>
    <row r="117" spans="24:25" x14ac:dyDescent="0.3">
      <c r="X117" s="3" t="s">
        <v>752</v>
      </c>
      <c r="Y117">
        <v>11155057</v>
      </c>
    </row>
    <row r="118" spans="24:25" x14ac:dyDescent="0.3">
      <c r="X118" s="3" t="s">
        <v>745</v>
      </c>
      <c r="Y118">
        <v>11144288</v>
      </c>
    </row>
    <row r="119" spans="24:25" x14ac:dyDescent="0.3">
      <c r="X119" s="3" t="s">
        <v>759</v>
      </c>
      <c r="Y119">
        <v>11101030</v>
      </c>
    </row>
    <row r="120" spans="24:25" x14ac:dyDescent="0.3">
      <c r="X120" s="3" t="s">
        <v>765</v>
      </c>
      <c r="Y120">
        <v>11082865</v>
      </c>
    </row>
    <row r="121" spans="24:25" x14ac:dyDescent="0.3">
      <c r="X121" s="3" t="s">
        <v>771</v>
      </c>
      <c r="Y121">
        <v>8799631</v>
      </c>
    </row>
    <row r="122" spans="24:25" x14ac:dyDescent="0.3">
      <c r="X122" s="3" t="s">
        <v>777</v>
      </c>
      <c r="Y122">
        <v>8770979</v>
      </c>
    </row>
    <row r="123" spans="24:25" x14ac:dyDescent="0.3">
      <c r="X123" s="3" t="s">
        <v>783</v>
      </c>
      <c r="Y123">
        <v>8762689</v>
      </c>
    </row>
    <row r="124" spans="24:25" x14ac:dyDescent="0.3">
      <c r="X124" s="3" t="s">
        <v>789</v>
      </c>
      <c r="Y124">
        <v>8757334</v>
      </c>
    </row>
    <row r="125" spans="24:25" x14ac:dyDescent="0.3">
      <c r="X125" s="3" t="s">
        <v>796</v>
      </c>
      <c r="Y125">
        <v>8738652</v>
      </c>
    </row>
    <row r="126" spans="24:25" x14ac:dyDescent="0.3">
      <c r="X126" s="3" t="s">
        <v>802</v>
      </c>
      <c r="Y126">
        <v>8732769</v>
      </c>
    </row>
    <row r="127" spans="24:25" x14ac:dyDescent="0.3">
      <c r="X127" s="3" t="s">
        <v>808</v>
      </c>
      <c r="Y127">
        <v>8712671</v>
      </c>
    </row>
    <row r="128" spans="24:25" x14ac:dyDescent="0.3">
      <c r="X128" s="3" t="s">
        <v>815</v>
      </c>
      <c r="Y128">
        <v>8699473</v>
      </c>
    </row>
    <row r="129" spans="24:25" x14ac:dyDescent="0.3">
      <c r="X129" s="3" t="s">
        <v>821</v>
      </c>
      <c r="Y129">
        <v>8669853</v>
      </c>
    </row>
    <row r="130" spans="24:25" x14ac:dyDescent="0.3">
      <c r="X130" s="3" t="s">
        <v>827</v>
      </c>
      <c r="Y130">
        <v>8662826</v>
      </c>
    </row>
    <row r="131" spans="24:25" x14ac:dyDescent="0.3">
      <c r="X131" s="3" t="s">
        <v>842</v>
      </c>
      <c r="Y131">
        <v>6977656</v>
      </c>
    </row>
    <row r="132" spans="24:25" x14ac:dyDescent="0.3">
      <c r="X132" s="3" t="s">
        <v>848</v>
      </c>
      <c r="Y132">
        <v>6955385</v>
      </c>
    </row>
    <row r="133" spans="24:25" x14ac:dyDescent="0.3">
      <c r="X133" s="3" t="s">
        <v>859</v>
      </c>
      <c r="Y133">
        <v>6916559</v>
      </c>
    </row>
    <row r="134" spans="24:25" x14ac:dyDescent="0.3">
      <c r="X134" s="3" t="s">
        <v>866</v>
      </c>
      <c r="Y134">
        <v>6910668</v>
      </c>
    </row>
    <row r="135" spans="24:25" x14ac:dyDescent="0.3">
      <c r="X135" s="3" t="s">
        <v>872</v>
      </c>
      <c r="Y135">
        <v>6901123</v>
      </c>
    </row>
    <row r="136" spans="24:25" x14ac:dyDescent="0.3">
      <c r="X136" s="3" t="s">
        <v>878</v>
      </c>
      <c r="Y136">
        <v>6897513</v>
      </c>
    </row>
    <row r="137" spans="24:25" x14ac:dyDescent="0.3">
      <c r="X137" s="3" t="s">
        <v>884</v>
      </c>
      <c r="Y137">
        <v>6894766</v>
      </c>
    </row>
    <row r="138" spans="24:25" x14ac:dyDescent="0.3">
      <c r="X138" s="3" t="s">
        <v>890</v>
      </c>
      <c r="Y138">
        <v>5328756</v>
      </c>
    </row>
    <row r="139" spans="24:25" x14ac:dyDescent="0.3">
      <c r="X139" s="3" t="s">
        <v>896</v>
      </c>
      <c r="Y139">
        <v>5322203</v>
      </c>
    </row>
    <row r="140" spans="24:25" x14ac:dyDescent="0.3">
      <c r="X140" s="3" t="s">
        <v>902</v>
      </c>
      <c r="Y140">
        <v>5321075</v>
      </c>
    </row>
    <row r="141" spans="24:25" x14ac:dyDescent="0.3">
      <c r="X141" s="3" t="s">
        <v>908</v>
      </c>
      <c r="Y141">
        <v>5289262</v>
      </c>
    </row>
    <row r="142" spans="24:25" x14ac:dyDescent="0.3">
      <c r="X142" s="3" t="s">
        <v>915</v>
      </c>
      <c r="Y142">
        <v>5279826</v>
      </c>
    </row>
    <row r="143" spans="24:25" x14ac:dyDescent="0.3">
      <c r="X143" s="3" t="s">
        <v>921</v>
      </c>
      <c r="Y143">
        <v>5273359</v>
      </c>
    </row>
    <row r="144" spans="24:25" x14ac:dyDescent="0.3">
      <c r="X144" s="3" t="s">
        <v>926</v>
      </c>
      <c r="Y144">
        <v>5254151</v>
      </c>
    </row>
    <row r="145" spans="24:25" x14ac:dyDescent="0.3">
      <c r="X145" s="3" t="s">
        <v>932</v>
      </c>
      <c r="Y145">
        <v>5249160</v>
      </c>
    </row>
    <row r="146" spans="24:25" x14ac:dyDescent="0.3">
      <c r="X146" s="3" t="s">
        <v>938</v>
      </c>
      <c r="Y146">
        <v>5236511</v>
      </c>
    </row>
    <row r="147" spans="24:25" x14ac:dyDescent="0.3">
      <c r="X147" s="3" t="s">
        <v>945</v>
      </c>
      <c r="Y147">
        <v>5209385</v>
      </c>
    </row>
    <row r="148" spans="24:25" x14ac:dyDescent="0.3">
      <c r="X148" s="3" t="s">
        <v>951</v>
      </c>
      <c r="Y148">
        <v>4203318</v>
      </c>
    </row>
    <row r="149" spans="24:25" x14ac:dyDescent="0.3">
      <c r="X149" s="3" t="s">
        <v>968</v>
      </c>
      <c r="Y149">
        <v>4174785</v>
      </c>
    </row>
    <row r="150" spans="24:25" x14ac:dyDescent="0.3">
      <c r="X150" s="3" t="s">
        <v>975</v>
      </c>
      <c r="Y150">
        <v>4163952</v>
      </c>
    </row>
    <row r="151" spans="24:25" x14ac:dyDescent="0.3">
      <c r="X151" s="3" t="s">
        <v>981</v>
      </c>
      <c r="Y151">
        <v>4148747</v>
      </c>
    </row>
    <row r="152" spans="24:25" x14ac:dyDescent="0.3">
      <c r="X152" s="3" t="s">
        <v>991</v>
      </c>
      <c r="Y152">
        <v>4140168</v>
      </c>
    </row>
    <row r="153" spans="24:25" x14ac:dyDescent="0.3">
      <c r="X153" s="3" t="s">
        <v>998</v>
      </c>
      <c r="Y153">
        <v>4138839</v>
      </c>
    </row>
    <row r="154" spans="24:25" x14ac:dyDescent="0.3">
      <c r="X154" s="3" t="s">
        <v>1004</v>
      </c>
      <c r="Y154">
        <v>4130541</v>
      </c>
    </row>
    <row r="155" spans="24:25" x14ac:dyDescent="0.3">
      <c r="X155" s="3" t="s">
        <v>1015</v>
      </c>
      <c r="Y155">
        <v>3346569</v>
      </c>
    </row>
    <row r="156" spans="24:25" x14ac:dyDescent="0.3">
      <c r="X156" s="3" t="s">
        <v>1022</v>
      </c>
      <c r="Y156">
        <v>3339357</v>
      </c>
    </row>
    <row r="157" spans="24:25" x14ac:dyDescent="0.3">
      <c r="X157" s="3" t="s">
        <v>1029</v>
      </c>
      <c r="Y157">
        <v>3333341</v>
      </c>
    </row>
    <row r="158" spans="24:25" x14ac:dyDescent="0.3">
      <c r="X158" s="3" t="s">
        <v>1035</v>
      </c>
      <c r="Y158">
        <v>3321989</v>
      </c>
    </row>
    <row r="159" spans="24:25" x14ac:dyDescent="0.3">
      <c r="X159" s="3" t="s">
        <v>1041</v>
      </c>
      <c r="Y159">
        <v>3318891</v>
      </c>
    </row>
    <row r="160" spans="24:25" x14ac:dyDescent="0.3">
      <c r="X160" s="3" t="s">
        <v>1048</v>
      </c>
      <c r="Y160">
        <v>3316153</v>
      </c>
    </row>
    <row r="161" spans="24:25" x14ac:dyDescent="0.3">
      <c r="X161" s="3" t="s">
        <v>1054</v>
      </c>
      <c r="Y161">
        <v>3296073</v>
      </c>
    </row>
    <row r="162" spans="24:25" x14ac:dyDescent="0.3">
      <c r="X162" s="3" t="s">
        <v>1061</v>
      </c>
      <c r="Y162">
        <v>3290369</v>
      </c>
    </row>
    <row r="163" spans="24:25" x14ac:dyDescent="0.3">
      <c r="X163" s="3" t="s">
        <v>1067</v>
      </c>
      <c r="Y163">
        <v>3283841</v>
      </c>
    </row>
    <row r="164" spans="24:25" x14ac:dyDescent="0.3">
      <c r="X164" s="3" t="s">
        <v>1074</v>
      </c>
      <c r="Y164">
        <v>2780822</v>
      </c>
    </row>
    <row r="165" spans="24:25" x14ac:dyDescent="0.3">
      <c r="X165" s="3" t="s">
        <v>1081</v>
      </c>
      <c r="Y165">
        <v>2775444</v>
      </c>
    </row>
    <row r="166" spans="24:25" x14ac:dyDescent="0.3">
      <c r="X166" s="3" t="s">
        <v>1091</v>
      </c>
      <c r="Y166">
        <v>2752249</v>
      </c>
    </row>
    <row r="167" spans="24:25" x14ac:dyDescent="0.3">
      <c r="X167" s="3" t="s">
        <v>1097</v>
      </c>
      <c r="Y167">
        <v>2740226</v>
      </c>
    </row>
    <row r="168" spans="24:25" x14ac:dyDescent="0.3">
      <c r="X168" s="3" t="s">
        <v>1104</v>
      </c>
      <c r="Y168">
        <v>2725328</v>
      </c>
    </row>
    <row r="169" spans="24:25" x14ac:dyDescent="0.3">
      <c r="X169" s="3" t="s">
        <v>1110</v>
      </c>
      <c r="Y169">
        <v>2721575</v>
      </c>
    </row>
    <row r="170" spans="24:25" x14ac:dyDescent="0.3">
      <c r="X170" s="3" t="s">
        <v>1116</v>
      </c>
      <c r="Y170">
        <v>2718841</v>
      </c>
    </row>
    <row r="171" spans="24:25" x14ac:dyDescent="0.3">
      <c r="X171" s="3" t="s">
        <v>1123</v>
      </c>
      <c r="Y171">
        <v>2717949</v>
      </c>
    </row>
    <row r="172" spans="24:25" x14ac:dyDescent="0.3">
      <c r="X172" s="3" t="s">
        <v>1129</v>
      </c>
      <c r="Y172">
        <v>2715332</v>
      </c>
    </row>
    <row r="173" spans="24:25" x14ac:dyDescent="0.3">
      <c r="X173" s="3" t="s">
        <v>1136</v>
      </c>
      <c r="Y173">
        <v>2203902</v>
      </c>
    </row>
    <row r="174" spans="24:25" x14ac:dyDescent="0.3">
      <c r="X174" s="3" t="s">
        <v>1142</v>
      </c>
      <c r="Y174">
        <v>2196829</v>
      </c>
    </row>
    <row r="175" spans="24:25" x14ac:dyDescent="0.3">
      <c r="X175" s="3" t="s">
        <v>1154</v>
      </c>
      <c r="Y175">
        <v>2193844</v>
      </c>
    </row>
    <row r="176" spans="24:25" x14ac:dyDescent="0.3">
      <c r="X176" s="3" t="s">
        <v>1148</v>
      </c>
      <c r="Y176">
        <v>2192711</v>
      </c>
    </row>
    <row r="177" spans="24:25" x14ac:dyDescent="0.3">
      <c r="X177" s="3" t="s">
        <v>1184</v>
      </c>
      <c r="Y177">
        <v>2188825</v>
      </c>
    </row>
    <row r="178" spans="24:25" x14ac:dyDescent="0.3">
      <c r="X178" s="3" t="s">
        <v>1165</v>
      </c>
      <c r="Y178">
        <v>2187874</v>
      </c>
    </row>
    <row r="179" spans="24:25" x14ac:dyDescent="0.3">
      <c r="X179" s="3" t="s">
        <v>1171</v>
      </c>
      <c r="Y179">
        <v>2179537</v>
      </c>
    </row>
    <row r="180" spans="24:25" x14ac:dyDescent="0.3">
      <c r="X180" s="3" t="s">
        <v>1177</v>
      </c>
      <c r="Y180">
        <v>2178852</v>
      </c>
    </row>
    <row r="181" spans="24:25" x14ac:dyDescent="0.3">
      <c r="X181" s="3" t="s">
        <v>1195</v>
      </c>
      <c r="Y181">
        <v>1756805</v>
      </c>
    </row>
    <row r="182" spans="24:25" x14ac:dyDescent="0.3">
      <c r="X182" s="3" t="s">
        <v>1201</v>
      </c>
      <c r="Y182">
        <v>1755788</v>
      </c>
    </row>
    <row r="183" spans="24:25" x14ac:dyDescent="0.3">
      <c r="X183" s="3" t="s">
        <v>1207</v>
      </c>
      <c r="Y183">
        <v>1754868</v>
      </c>
    </row>
    <row r="184" spans="24:25" x14ac:dyDescent="0.3">
      <c r="X184" s="3" t="s">
        <v>1213</v>
      </c>
      <c r="Y184">
        <v>1752254</v>
      </c>
    </row>
    <row r="185" spans="24:25" x14ac:dyDescent="0.3">
      <c r="X185" s="3" t="s">
        <v>1219</v>
      </c>
      <c r="Y185">
        <v>1747236</v>
      </c>
    </row>
    <row r="186" spans="24:25" x14ac:dyDescent="0.3">
      <c r="X186" s="3" t="s">
        <v>1225</v>
      </c>
      <c r="Y186">
        <v>1745226</v>
      </c>
    </row>
    <row r="187" spans="24:25" x14ac:dyDescent="0.3">
      <c r="X187" s="3" t="s">
        <v>1231</v>
      </c>
      <c r="Y187">
        <v>1739324</v>
      </c>
    </row>
    <row r="188" spans="24:25" x14ac:dyDescent="0.3">
      <c r="X188" s="3" t="s">
        <v>1237</v>
      </c>
      <c r="Y188">
        <v>1738739</v>
      </c>
    </row>
    <row r="189" spans="24:25" x14ac:dyDescent="0.3">
      <c r="X189" s="3" t="s">
        <v>1243</v>
      </c>
      <c r="Y189">
        <v>1736200</v>
      </c>
    </row>
    <row r="190" spans="24:25" x14ac:dyDescent="0.3">
      <c r="X190" s="3" t="s">
        <v>1258</v>
      </c>
      <c r="Y190">
        <v>3562838567434</v>
      </c>
    </row>
  </sheetData>
  <conditionalFormatting sqref="O54:O73">
    <cfRule type="colorScale" priority="1">
      <colorScale>
        <cfvo type="min"/>
        <cfvo type="percentile" val="50"/>
        <cfvo type="max"/>
        <color rgb="FFF8696B"/>
        <color rgb="FFFFEB84"/>
        <color rgb="FF63BE7B"/>
      </colorScale>
    </cfRule>
  </conditionalFormatting>
  <conditionalFormatting sqref="O53:P53 O54:O73">
    <cfRule type="colorScale" priority="2">
      <colorScale>
        <cfvo type="min"/>
        <cfvo type="percentile" val="50"/>
        <cfvo type="max"/>
        <color rgb="FFF8696B"/>
        <color rgb="FFFFEB84"/>
        <color rgb="FF63BE7B"/>
      </colorScale>
    </cfRule>
  </conditionalFormatting>
  <pageMargins left="0.7" right="0.7" top="0.75" bottom="0.75" header="0.3" footer="0.3"/>
  <drawing r:id="rId9"/>
  <extLst>
    <ext xmlns:x14="http://schemas.microsoft.com/office/spreadsheetml/2009/9/main" uri="{A8765BA9-456A-4dab-B4F3-ACF838C121DE}">
      <x14:slicerList>
        <x14:slicer r:id="rId10"/>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D339B-70F8-498B-9E65-BBC4A7C63665}">
  <sheetPr codeName="Sheet4"/>
  <dimension ref="D1:V52"/>
  <sheetViews>
    <sheetView topLeftCell="B1" zoomScale="66" zoomScaleNormal="69" workbookViewId="0">
      <selection activeCell="C2" sqref="C2"/>
    </sheetView>
  </sheetViews>
  <sheetFormatPr defaultRowHeight="14.4" x14ac:dyDescent="0.3"/>
  <cols>
    <col min="13" max="13" width="18.6640625" bestFit="1" customWidth="1"/>
    <col min="14" max="14" width="23.77734375" bestFit="1" customWidth="1"/>
    <col min="17" max="17" width="21.109375" bestFit="1" customWidth="1"/>
    <col min="18" max="18" width="27.33203125" bestFit="1" customWidth="1"/>
  </cols>
  <sheetData>
    <row r="1" spans="4:22" x14ac:dyDescent="0.3">
      <c r="D1" s="35" t="s">
        <v>1272</v>
      </c>
      <c r="E1" s="36"/>
      <c r="F1" s="36"/>
      <c r="G1" s="36"/>
      <c r="H1" s="36"/>
      <c r="I1" s="36"/>
      <c r="J1" s="36"/>
      <c r="K1" s="36"/>
      <c r="L1" s="36"/>
      <c r="M1" s="36"/>
      <c r="N1" s="36"/>
      <c r="O1" s="36"/>
      <c r="P1" s="36"/>
      <c r="Q1" s="36"/>
      <c r="R1" s="36"/>
      <c r="S1" s="36"/>
      <c r="T1" s="36"/>
      <c r="U1" s="36"/>
      <c r="V1" s="36"/>
    </row>
    <row r="2" spans="4:22" x14ac:dyDescent="0.3">
      <c r="D2" s="36"/>
      <c r="E2" s="36"/>
      <c r="F2" s="36"/>
      <c r="G2" s="36"/>
      <c r="H2" s="36"/>
      <c r="I2" s="36"/>
      <c r="J2" s="36"/>
      <c r="K2" s="36"/>
      <c r="L2" s="36"/>
      <c r="M2" s="36"/>
      <c r="N2" s="36"/>
      <c r="O2" s="36"/>
      <c r="P2" s="36"/>
      <c r="Q2" s="36"/>
      <c r="R2" s="36"/>
      <c r="S2" s="36"/>
      <c r="T2" s="36"/>
      <c r="U2" s="36"/>
      <c r="V2" s="36"/>
    </row>
    <row r="3" spans="4:22" x14ac:dyDescent="0.3">
      <c r="D3" s="36"/>
      <c r="E3" s="36"/>
      <c r="F3" s="36"/>
      <c r="G3" s="36"/>
      <c r="H3" s="36"/>
      <c r="I3" s="36"/>
      <c r="J3" s="36"/>
      <c r="K3" s="36"/>
      <c r="L3" s="36"/>
      <c r="M3" s="36"/>
      <c r="N3" s="36"/>
      <c r="O3" s="36"/>
      <c r="P3" s="36"/>
      <c r="Q3" s="36"/>
      <c r="R3" s="36"/>
      <c r="S3" s="36"/>
      <c r="T3" s="36"/>
      <c r="U3" s="36"/>
      <c r="V3" s="36"/>
    </row>
    <row r="4" spans="4:22" x14ac:dyDescent="0.3">
      <c r="D4" s="36"/>
      <c r="E4" s="36"/>
      <c r="F4" s="36"/>
      <c r="G4" s="36"/>
      <c r="H4" s="36"/>
      <c r="I4" s="36"/>
      <c r="J4" s="36"/>
      <c r="K4" s="36"/>
      <c r="L4" s="36"/>
      <c r="M4" s="36"/>
      <c r="N4" s="36"/>
      <c r="O4" s="36"/>
      <c r="P4" s="36"/>
      <c r="Q4" s="36"/>
      <c r="R4" s="36"/>
      <c r="S4" s="36"/>
      <c r="T4" s="36"/>
      <c r="U4" s="36"/>
      <c r="V4" s="36"/>
    </row>
    <row r="5" spans="4:22" x14ac:dyDescent="0.3">
      <c r="D5" s="36"/>
      <c r="E5" s="36"/>
      <c r="F5" s="36"/>
      <c r="G5" s="36"/>
      <c r="H5" s="36"/>
      <c r="I5" s="36"/>
      <c r="J5" s="36"/>
      <c r="K5" s="36"/>
      <c r="L5" s="36"/>
      <c r="M5" s="36"/>
      <c r="N5" s="36"/>
      <c r="O5" s="36"/>
      <c r="P5" s="36"/>
      <c r="Q5" s="36"/>
      <c r="R5" s="36"/>
      <c r="S5" s="36"/>
      <c r="T5" s="36"/>
      <c r="U5" s="36"/>
      <c r="V5" s="36"/>
    </row>
    <row r="6" spans="4:22" x14ac:dyDescent="0.3">
      <c r="D6" s="36"/>
      <c r="E6" s="36"/>
      <c r="F6" s="36"/>
      <c r="G6" s="36"/>
      <c r="H6" s="36"/>
      <c r="I6" s="36"/>
      <c r="J6" s="36"/>
      <c r="K6" s="36"/>
      <c r="L6" s="36"/>
      <c r="M6" s="36"/>
      <c r="N6" s="36"/>
      <c r="O6" s="36"/>
      <c r="P6" s="36"/>
      <c r="Q6" s="36"/>
      <c r="R6" s="36"/>
      <c r="S6" s="36"/>
      <c r="T6" s="36"/>
      <c r="U6" s="36"/>
      <c r="V6" s="36"/>
    </row>
    <row r="7" spans="4:22" x14ac:dyDescent="0.3">
      <c r="D7" s="36"/>
      <c r="E7" s="36"/>
      <c r="F7" s="36"/>
      <c r="G7" s="36"/>
      <c r="H7" s="36"/>
      <c r="I7" s="36"/>
      <c r="J7" s="36"/>
      <c r="K7" s="36"/>
      <c r="L7" s="36"/>
      <c r="M7" s="36"/>
      <c r="N7" s="36"/>
      <c r="O7" s="36"/>
      <c r="P7" s="36"/>
      <c r="Q7" s="36"/>
      <c r="R7" s="36"/>
      <c r="S7" s="36"/>
      <c r="T7" s="36"/>
      <c r="U7" s="36"/>
      <c r="V7" s="36"/>
    </row>
    <row r="8" spans="4:22" x14ac:dyDescent="0.3">
      <c r="D8" s="36"/>
      <c r="E8" s="36"/>
      <c r="F8" s="36"/>
      <c r="G8" s="36"/>
      <c r="H8" s="36"/>
      <c r="I8" s="36"/>
      <c r="J8" s="36"/>
      <c r="K8" s="36"/>
      <c r="L8" s="36"/>
      <c r="M8" s="36"/>
      <c r="N8" s="36"/>
      <c r="O8" s="36"/>
      <c r="P8" s="36"/>
      <c r="Q8" s="36"/>
      <c r="R8" s="36"/>
      <c r="S8" s="36"/>
      <c r="T8" s="36"/>
      <c r="U8" s="36"/>
      <c r="V8" s="36"/>
    </row>
    <row r="9" spans="4:22" x14ac:dyDescent="0.3">
      <c r="D9" s="5"/>
      <c r="E9" s="5"/>
      <c r="F9" s="5"/>
      <c r="G9" s="5"/>
      <c r="H9" s="5"/>
      <c r="I9" s="5"/>
      <c r="J9" s="5"/>
      <c r="K9" s="5"/>
      <c r="L9" s="5"/>
      <c r="M9" s="5"/>
      <c r="N9" s="5"/>
      <c r="O9" s="5"/>
      <c r="P9" s="5"/>
      <c r="Q9" s="5"/>
      <c r="R9" s="5"/>
      <c r="S9" s="5"/>
      <c r="T9" s="5"/>
      <c r="U9" s="5"/>
      <c r="V9" s="5"/>
    </row>
    <row r="10" spans="4:22" x14ac:dyDescent="0.3">
      <c r="D10" s="5"/>
      <c r="E10" s="5"/>
      <c r="F10" s="5"/>
      <c r="G10" s="5"/>
      <c r="H10" s="5"/>
      <c r="I10" s="5"/>
      <c r="J10" s="5"/>
      <c r="K10" s="5"/>
      <c r="L10" s="5"/>
      <c r="M10" s="5"/>
      <c r="N10" s="5"/>
      <c r="O10" s="5"/>
      <c r="P10" s="5"/>
      <c r="Q10" s="5"/>
      <c r="R10" s="5"/>
      <c r="S10" s="5"/>
      <c r="T10" s="5"/>
      <c r="U10" s="5"/>
      <c r="V10" s="5"/>
    </row>
    <row r="11" spans="4:22" x14ac:dyDescent="0.3">
      <c r="D11" s="5"/>
      <c r="E11" s="5"/>
      <c r="F11" s="5"/>
      <c r="G11" s="5"/>
      <c r="H11" s="5"/>
      <c r="I11" s="5"/>
      <c r="J11" s="5"/>
      <c r="K11" s="5"/>
      <c r="L11" s="5"/>
      <c r="M11" s="5"/>
      <c r="N11" s="5"/>
      <c r="O11" s="5"/>
      <c r="P11" s="5"/>
      <c r="Q11" s="5"/>
      <c r="R11" s="5"/>
      <c r="S11" s="5"/>
      <c r="T11" s="5"/>
      <c r="U11" s="5"/>
      <c r="V11" s="5"/>
    </row>
    <row r="12" spans="4:22" x14ac:dyDescent="0.3">
      <c r="D12" s="5"/>
      <c r="E12" s="5"/>
      <c r="F12" s="5"/>
      <c r="G12" s="5"/>
      <c r="H12" s="5"/>
      <c r="I12" s="5"/>
      <c r="J12" s="5"/>
      <c r="K12" s="5"/>
      <c r="L12" s="5"/>
      <c r="M12" s="5"/>
      <c r="N12" s="5"/>
      <c r="O12" s="5"/>
      <c r="P12" s="5"/>
      <c r="Q12" s="5"/>
      <c r="R12" s="5"/>
      <c r="S12" s="5"/>
      <c r="T12" s="5"/>
      <c r="U12" s="5"/>
      <c r="V12" s="5"/>
    </row>
    <row r="13" spans="4:22" x14ac:dyDescent="0.3">
      <c r="D13" s="5"/>
      <c r="E13" s="5"/>
      <c r="F13" s="5"/>
      <c r="G13" s="5"/>
      <c r="H13" s="5"/>
      <c r="I13" s="5"/>
      <c r="J13" s="5"/>
      <c r="K13" s="5"/>
      <c r="L13" s="5"/>
      <c r="M13" s="5"/>
      <c r="N13" s="5"/>
      <c r="O13" s="5"/>
      <c r="P13" s="5"/>
      <c r="Q13" s="5"/>
      <c r="R13" s="5"/>
      <c r="S13" s="5"/>
      <c r="T13" s="5"/>
      <c r="U13" s="5"/>
      <c r="V13" s="5"/>
    </row>
    <row r="14" spans="4:22" x14ac:dyDescent="0.3">
      <c r="D14" s="5"/>
      <c r="E14" s="5"/>
      <c r="F14" s="5"/>
      <c r="G14" s="5"/>
      <c r="H14" s="5"/>
      <c r="I14" s="5"/>
      <c r="J14" s="5"/>
      <c r="K14" s="5"/>
      <c r="L14" s="5"/>
      <c r="M14" s="5"/>
      <c r="N14" s="5"/>
      <c r="O14" s="5"/>
      <c r="P14" s="5"/>
      <c r="Q14" s="5"/>
      <c r="R14" s="5"/>
      <c r="S14" s="5"/>
      <c r="T14" s="5"/>
      <c r="U14" s="5"/>
      <c r="V14" s="5"/>
    </row>
    <row r="15" spans="4:22" x14ac:dyDescent="0.3">
      <c r="D15" s="5"/>
      <c r="E15" s="5"/>
      <c r="F15" s="5"/>
      <c r="G15" s="5"/>
      <c r="H15" s="5"/>
      <c r="I15" s="5"/>
      <c r="J15" s="5"/>
      <c r="K15" s="5"/>
      <c r="L15" s="5"/>
      <c r="M15" s="5"/>
      <c r="N15" s="5"/>
      <c r="O15" s="5"/>
      <c r="P15" s="5"/>
      <c r="Q15" s="5"/>
      <c r="R15" s="5"/>
      <c r="S15" s="5"/>
      <c r="T15" s="5"/>
      <c r="U15" s="5"/>
      <c r="V15" s="5"/>
    </row>
    <row r="16" spans="4:22" x14ac:dyDescent="0.3">
      <c r="D16" s="5"/>
      <c r="E16" s="5"/>
      <c r="F16" s="5"/>
      <c r="G16" s="5"/>
      <c r="H16" s="5"/>
      <c r="I16" s="5"/>
      <c r="J16" s="5"/>
      <c r="K16" s="5"/>
      <c r="L16" s="5"/>
      <c r="M16" s="5"/>
      <c r="N16" s="5"/>
      <c r="O16" s="5"/>
      <c r="P16" s="5"/>
      <c r="Q16" s="5"/>
      <c r="R16" s="5"/>
      <c r="S16" s="5"/>
      <c r="T16" s="5"/>
      <c r="U16" s="5"/>
      <c r="V16" s="5"/>
    </row>
    <row r="17" spans="4:22" x14ac:dyDescent="0.3">
      <c r="D17" s="5"/>
      <c r="E17" s="5"/>
      <c r="F17" s="5"/>
      <c r="G17" s="5"/>
      <c r="H17" s="5"/>
      <c r="I17" s="5"/>
      <c r="J17" s="5"/>
      <c r="K17" s="5"/>
      <c r="L17" s="5"/>
      <c r="M17" s="5"/>
      <c r="N17" s="5"/>
      <c r="O17" s="5"/>
      <c r="P17" s="5"/>
      <c r="Q17" s="5"/>
      <c r="R17" s="5"/>
      <c r="S17" s="5"/>
      <c r="T17" s="5"/>
      <c r="U17" s="5"/>
      <c r="V17" s="5"/>
    </row>
    <row r="18" spans="4:22" x14ac:dyDescent="0.3">
      <c r="D18" s="5"/>
      <c r="E18" s="5"/>
      <c r="F18" s="5"/>
      <c r="G18" s="5"/>
      <c r="H18" s="5"/>
      <c r="I18" s="5"/>
      <c r="J18" s="5"/>
      <c r="K18" s="5"/>
      <c r="L18" s="5"/>
      <c r="M18" s="5"/>
      <c r="N18" s="5"/>
      <c r="O18" s="5"/>
      <c r="P18" s="5"/>
      <c r="Q18" s="5"/>
      <c r="R18" s="5"/>
      <c r="S18" s="5"/>
      <c r="T18" s="5"/>
      <c r="U18" s="5"/>
      <c r="V18" s="5"/>
    </row>
    <row r="19" spans="4:22" x14ac:dyDescent="0.3">
      <c r="D19" s="5"/>
      <c r="E19" s="5"/>
      <c r="F19" s="5"/>
      <c r="G19" s="5"/>
      <c r="H19" s="5"/>
      <c r="I19" s="5"/>
      <c r="J19" s="5"/>
      <c r="K19" s="5"/>
      <c r="L19" s="5"/>
      <c r="M19" s="5"/>
      <c r="N19" s="5"/>
      <c r="O19" s="5"/>
      <c r="P19" s="5"/>
      <c r="Q19" s="5"/>
      <c r="R19" s="5"/>
      <c r="S19" s="5"/>
      <c r="T19" s="5"/>
      <c r="U19" s="5"/>
      <c r="V19" s="5"/>
    </row>
    <row r="20" spans="4:22" x14ac:dyDescent="0.3">
      <c r="D20" s="5"/>
      <c r="E20" s="5"/>
      <c r="F20" s="5"/>
      <c r="G20" s="5"/>
      <c r="H20" s="5"/>
      <c r="I20" s="5"/>
      <c r="J20" s="5"/>
      <c r="K20" s="5"/>
      <c r="L20" s="5"/>
      <c r="M20" s="5"/>
      <c r="N20" s="5"/>
      <c r="O20" s="5"/>
      <c r="P20" s="5"/>
      <c r="Q20" s="5"/>
      <c r="R20" s="5"/>
      <c r="S20" s="5"/>
      <c r="T20" s="5"/>
      <c r="U20" s="5"/>
      <c r="V20" s="5"/>
    </row>
    <row r="21" spans="4:22" x14ac:dyDescent="0.3">
      <c r="D21" s="5"/>
      <c r="E21" s="5"/>
      <c r="F21" s="5"/>
      <c r="G21" s="5"/>
      <c r="H21" s="5"/>
      <c r="I21" s="5"/>
      <c r="J21" s="5"/>
      <c r="K21" s="5"/>
      <c r="L21" s="5"/>
      <c r="M21" s="5"/>
      <c r="N21" s="5"/>
      <c r="O21" s="5"/>
      <c r="P21" s="5"/>
      <c r="Q21" s="5"/>
      <c r="R21" s="5"/>
      <c r="S21" s="5"/>
      <c r="T21" s="5"/>
      <c r="U21" s="5"/>
      <c r="V21" s="5"/>
    </row>
    <row r="22" spans="4:22" x14ac:dyDescent="0.3">
      <c r="D22" s="5"/>
      <c r="E22" s="5"/>
      <c r="F22" s="5"/>
      <c r="G22" s="5"/>
      <c r="H22" s="5"/>
      <c r="I22" s="5"/>
      <c r="J22" s="5"/>
      <c r="K22" s="5"/>
      <c r="L22" s="5"/>
      <c r="M22" s="5"/>
      <c r="N22" s="5"/>
      <c r="O22" s="5"/>
      <c r="P22" s="5"/>
      <c r="Q22" s="5"/>
      <c r="R22" s="5"/>
      <c r="S22" s="5"/>
      <c r="T22" s="5"/>
      <c r="U22" s="5"/>
      <c r="V22" s="5"/>
    </row>
    <row r="23" spans="4:22" x14ac:dyDescent="0.3">
      <c r="D23" s="5"/>
      <c r="E23" s="5"/>
      <c r="F23" s="5"/>
      <c r="G23" s="5"/>
      <c r="H23" s="5"/>
      <c r="I23" s="5"/>
      <c r="J23" s="5"/>
      <c r="K23" s="5"/>
      <c r="L23" s="5"/>
      <c r="M23" s="5"/>
      <c r="N23" s="5"/>
      <c r="O23" s="5"/>
      <c r="P23" s="5"/>
      <c r="Q23" s="5"/>
      <c r="R23" s="5"/>
      <c r="S23" s="5"/>
      <c r="T23" s="5"/>
      <c r="U23" s="5"/>
      <c r="V23" s="5"/>
    </row>
    <row r="24" spans="4:22" x14ac:dyDescent="0.3">
      <c r="D24" s="5"/>
      <c r="E24" s="5"/>
      <c r="F24" s="5"/>
      <c r="G24" s="5"/>
      <c r="H24" s="5"/>
      <c r="I24" s="5"/>
      <c r="J24" s="5"/>
      <c r="K24" s="5"/>
      <c r="L24" s="5"/>
      <c r="M24" s="5"/>
      <c r="N24" s="5"/>
      <c r="O24" s="5"/>
      <c r="P24" s="5"/>
      <c r="Q24" s="5"/>
      <c r="R24" s="5"/>
      <c r="S24" s="5"/>
      <c r="T24" s="5"/>
      <c r="U24" s="5"/>
      <c r="V24" s="5"/>
    </row>
    <row r="25" spans="4:22" x14ac:dyDescent="0.3">
      <c r="D25" s="5"/>
      <c r="E25" s="5"/>
      <c r="F25" s="5"/>
      <c r="G25" s="5"/>
      <c r="H25" s="5"/>
      <c r="I25" s="5"/>
      <c r="J25" s="5"/>
      <c r="K25" s="5"/>
      <c r="L25" s="5"/>
      <c r="M25" s="5"/>
      <c r="N25" s="5"/>
      <c r="O25" s="5"/>
      <c r="P25" s="5"/>
      <c r="Q25" s="5"/>
      <c r="R25" s="5"/>
      <c r="S25" s="5"/>
      <c r="T25" s="5"/>
      <c r="U25" s="5"/>
      <c r="V25" s="5"/>
    </row>
    <row r="26" spans="4:22" x14ac:dyDescent="0.3">
      <c r="D26" s="5"/>
      <c r="E26" s="5"/>
      <c r="F26" s="5"/>
      <c r="G26" s="5"/>
      <c r="H26" s="5"/>
      <c r="I26" s="5"/>
      <c r="J26" s="5"/>
      <c r="K26" s="5"/>
      <c r="L26" s="5"/>
      <c r="M26" s="5"/>
      <c r="N26" s="5"/>
      <c r="O26" s="5"/>
      <c r="P26" s="5"/>
      <c r="Q26" s="5"/>
      <c r="R26" s="5"/>
      <c r="S26" s="5"/>
      <c r="T26" s="5"/>
      <c r="U26" s="5"/>
      <c r="V26" s="5"/>
    </row>
    <row r="27" spans="4:22" x14ac:dyDescent="0.3">
      <c r="D27" s="5"/>
      <c r="E27" s="5"/>
      <c r="F27" s="5"/>
      <c r="G27" s="5"/>
      <c r="H27" s="5"/>
      <c r="I27" s="5"/>
      <c r="J27" s="5"/>
      <c r="K27" s="5"/>
      <c r="L27" s="5"/>
      <c r="M27" s="5"/>
      <c r="N27" s="5"/>
      <c r="O27" s="5"/>
      <c r="P27" s="5"/>
      <c r="Q27" s="5"/>
      <c r="R27" s="5"/>
      <c r="S27" s="5"/>
      <c r="T27" s="5"/>
      <c r="U27" s="5"/>
      <c r="V27" s="5"/>
    </row>
    <row r="28" spans="4:22" x14ac:dyDescent="0.3">
      <c r="D28" s="5"/>
      <c r="E28" s="5"/>
      <c r="F28" s="5"/>
      <c r="G28" s="5"/>
      <c r="H28" s="5"/>
      <c r="I28" s="5"/>
      <c r="J28" s="5"/>
      <c r="K28" s="5"/>
      <c r="L28" s="5"/>
      <c r="M28" s="5"/>
      <c r="N28" s="5"/>
      <c r="O28" s="5"/>
      <c r="P28" s="5"/>
      <c r="Q28" s="5"/>
      <c r="R28" s="5"/>
      <c r="S28" s="5"/>
      <c r="T28" s="5"/>
      <c r="U28" s="5"/>
      <c r="V28" s="5"/>
    </row>
    <row r="29" spans="4:22" x14ac:dyDescent="0.3">
      <c r="D29" s="5"/>
      <c r="E29" s="5"/>
      <c r="F29" s="5"/>
      <c r="G29" s="5"/>
      <c r="H29" s="5"/>
      <c r="I29" s="5"/>
      <c r="J29" s="5"/>
      <c r="K29" s="5"/>
      <c r="L29" s="5"/>
      <c r="M29" s="5"/>
      <c r="N29" s="5"/>
      <c r="O29" s="5"/>
      <c r="P29" s="5"/>
      <c r="Q29" s="5"/>
      <c r="R29" s="5"/>
      <c r="S29" s="5"/>
      <c r="T29" s="5"/>
      <c r="U29" s="5"/>
      <c r="V29" s="5"/>
    </row>
    <row r="30" spans="4:22" x14ac:dyDescent="0.3">
      <c r="D30" s="5"/>
      <c r="E30" s="5"/>
      <c r="F30" s="5"/>
      <c r="G30" s="5"/>
      <c r="H30" s="5"/>
      <c r="I30" s="5"/>
      <c r="J30" s="5"/>
      <c r="K30" s="5"/>
      <c r="L30" s="5"/>
      <c r="M30" s="2" t="s">
        <v>0</v>
      </c>
      <c r="N30" t="s">
        <v>1270</v>
      </c>
      <c r="O30" s="5"/>
      <c r="P30" s="5"/>
      <c r="Q30" s="5"/>
      <c r="R30" s="5"/>
      <c r="S30" s="5"/>
      <c r="T30" s="5"/>
      <c r="U30" s="5"/>
      <c r="V30" s="5"/>
    </row>
    <row r="31" spans="4:22" x14ac:dyDescent="0.3">
      <c r="D31" s="5"/>
      <c r="E31" s="5"/>
      <c r="F31" s="5"/>
      <c r="G31" s="5"/>
      <c r="H31" s="5"/>
      <c r="I31" s="5"/>
      <c r="J31" s="5"/>
      <c r="K31" s="5"/>
      <c r="L31" s="5"/>
      <c r="M31" s="3" t="s">
        <v>7</v>
      </c>
      <c r="N31">
        <v>112396.23</v>
      </c>
      <c r="O31" s="5"/>
      <c r="P31" s="5"/>
      <c r="Q31" s="5"/>
      <c r="R31" s="5"/>
      <c r="S31" s="5"/>
      <c r="T31" s="5"/>
      <c r="U31" s="5"/>
      <c r="V31" s="5"/>
    </row>
    <row r="32" spans="4:22" x14ac:dyDescent="0.3">
      <c r="D32" s="5"/>
      <c r="E32" s="5"/>
      <c r="F32" s="5"/>
      <c r="G32" s="5"/>
      <c r="H32" s="5"/>
      <c r="I32" s="5"/>
      <c r="J32" s="5"/>
      <c r="K32" s="5"/>
      <c r="L32" s="5"/>
      <c r="M32" s="4" t="s">
        <v>8</v>
      </c>
      <c r="N32">
        <v>112396.23</v>
      </c>
      <c r="O32" s="5"/>
      <c r="P32" s="5"/>
      <c r="Q32" s="5"/>
      <c r="R32" s="5"/>
      <c r="S32" s="5"/>
      <c r="T32" s="5"/>
      <c r="U32" s="5"/>
      <c r="V32" s="5"/>
    </row>
    <row r="33" spans="4:22" x14ac:dyDescent="0.3">
      <c r="D33" s="5"/>
      <c r="E33" s="5"/>
      <c r="F33" s="5"/>
      <c r="G33" s="5"/>
      <c r="H33" s="5"/>
      <c r="I33" s="5"/>
      <c r="J33" s="5"/>
      <c r="K33" s="5"/>
      <c r="L33" s="5"/>
      <c r="M33" s="3" t="s">
        <v>14</v>
      </c>
      <c r="N33">
        <v>4631.6899999999996</v>
      </c>
      <c r="O33" s="5"/>
      <c r="P33" s="5"/>
      <c r="Q33" s="5"/>
      <c r="R33" s="5"/>
      <c r="S33" s="5"/>
      <c r="T33" s="5"/>
      <c r="U33" s="5"/>
      <c r="V33" s="5"/>
    </row>
    <row r="34" spans="4:22" x14ac:dyDescent="0.3">
      <c r="D34" s="5"/>
      <c r="E34" s="5"/>
      <c r="F34" s="5"/>
      <c r="G34" s="5"/>
      <c r="H34" s="5"/>
      <c r="I34" s="5"/>
      <c r="J34" s="5"/>
      <c r="K34" s="5"/>
      <c r="L34" s="5"/>
      <c r="M34" s="4" t="s">
        <v>15</v>
      </c>
      <c r="N34">
        <v>4631.6899999999996</v>
      </c>
      <c r="O34" s="5"/>
      <c r="P34" s="5"/>
      <c r="Q34" s="5"/>
      <c r="R34" s="5"/>
      <c r="S34" s="5"/>
      <c r="T34" s="5"/>
      <c r="U34" s="5"/>
      <c r="V34" s="5"/>
    </row>
    <row r="35" spans="4:22" x14ac:dyDescent="0.3">
      <c r="D35" s="5"/>
      <c r="E35" s="5"/>
      <c r="F35" s="5"/>
      <c r="G35" s="5"/>
      <c r="H35" s="5"/>
      <c r="I35" s="5"/>
      <c r="J35" s="5"/>
      <c r="K35" s="5"/>
      <c r="L35" s="5"/>
      <c r="M35" s="3" t="s">
        <v>34</v>
      </c>
      <c r="N35">
        <v>864.91</v>
      </c>
      <c r="O35" s="5"/>
      <c r="P35" s="5"/>
      <c r="Q35" s="5"/>
      <c r="R35" s="5"/>
      <c r="S35" s="5"/>
      <c r="T35" s="5"/>
      <c r="U35" s="5"/>
      <c r="V35" s="5"/>
    </row>
    <row r="36" spans="4:22" x14ac:dyDescent="0.3">
      <c r="D36" s="5"/>
      <c r="E36" s="5"/>
      <c r="F36" s="5"/>
      <c r="G36" s="5"/>
      <c r="H36" s="5"/>
      <c r="I36" s="5"/>
      <c r="J36" s="5"/>
      <c r="K36" s="5"/>
      <c r="L36" s="5"/>
      <c r="M36" s="4" t="s">
        <v>34</v>
      </c>
      <c r="N36">
        <v>864.91</v>
      </c>
      <c r="O36" s="5"/>
      <c r="P36" s="5"/>
      <c r="Q36" s="5"/>
      <c r="R36" s="5"/>
      <c r="S36" s="5"/>
      <c r="T36" s="5"/>
      <c r="U36" s="5"/>
      <c r="V36" s="5"/>
    </row>
    <row r="37" spans="4:22" x14ac:dyDescent="0.3">
      <c r="D37" s="5"/>
      <c r="E37" s="5"/>
      <c r="F37" s="5"/>
      <c r="G37" s="5"/>
      <c r="H37" s="5"/>
      <c r="I37" s="5"/>
      <c r="J37" s="5"/>
      <c r="K37" s="5"/>
      <c r="L37" s="5"/>
      <c r="M37" s="3" t="s">
        <v>40</v>
      </c>
      <c r="N37">
        <v>208.97</v>
      </c>
      <c r="O37" s="5"/>
      <c r="P37" s="5"/>
      <c r="Q37" s="5"/>
      <c r="R37" s="5"/>
      <c r="S37" s="5"/>
      <c r="T37" s="5"/>
      <c r="U37" s="5"/>
      <c r="V37" s="5"/>
    </row>
    <row r="38" spans="4:22" x14ac:dyDescent="0.3">
      <c r="D38" s="5"/>
      <c r="E38" s="5"/>
      <c r="F38" s="5"/>
      <c r="G38" s="5"/>
      <c r="H38" s="5"/>
      <c r="I38" s="5"/>
      <c r="J38" s="5"/>
      <c r="K38" s="5"/>
      <c r="L38" s="5"/>
      <c r="M38" s="4" t="s">
        <v>41</v>
      </c>
      <c r="N38">
        <v>208.97</v>
      </c>
      <c r="O38" s="5"/>
      <c r="P38" s="5"/>
      <c r="Q38" s="5"/>
      <c r="R38" s="5"/>
      <c r="S38" s="5"/>
      <c r="T38" s="5"/>
      <c r="U38" s="5"/>
      <c r="V38" s="5"/>
    </row>
    <row r="39" spans="4:22" x14ac:dyDescent="0.3">
      <c r="D39" s="5"/>
      <c r="E39" s="5"/>
      <c r="F39" s="5"/>
      <c r="G39" s="5"/>
      <c r="H39" s="5"/>
      <c r="I39" s="5"/>
      <c r="J39" s="5"/>
      <c r="K39" s="5"/>
      <c r="L39" s="5"/>
      <c r="M39" s="3" t="s">
        <v>81</v>
      </c>
      <c r="N39">
        <v>42.45</v>
      </c>
      <c r="O39" s="5"/>
      <c r="P39" s="5"/>
      <c r="Q39" s="5"/>
      <c r="R39" s="5"/>
      <c r="S39" s="5"/>
      <c r="T39" s="5"/>
      <c r="U39" s="5"/>
      <c r="V39" s="5"/>
    </row>
    <row r="40" spans="4:22" x14ac:dyDescent="0.3">
      <c r="D40" s="5"/>
      <c r="E40" s="5"/>
      <c r="F40" s="5"/>
      <c r="G40" s="5"/>
      <c r="H40" s="5"/>
      <c r="I40" s="5"/>
      <c r="J40" s="5"/>
      <c r="K40" s="5"/>
      <c r="L40" s="5"/>
      <c r="M40" s="4" t="s">
        <v>82</v>
      </c>
      <c r="N40">
        <v>42.45</v>
      </c>
      <c r="O40" s="5"/>
      <c r="P40" s="5"/>
      <c r="Q40" s="5"/>
      <c r="R40" s="5"/>
      <c r="S40" s="5"/>
      <c r="T40" s="5"/>
      <c r="U40" s="5"/>
      <c r="V40" s="5"/>
    </row>
    <row r="41" spans="4:22" x14ac:dyDescent="0.3">
      <c r="D41" s="5"/>
      <c r="E41" s="5"/>
      <c r="F41" s="5"/>
      <c r="G41" s="5"/>
      <c r="H41" s="5"/>
      <c r="I41" s="5"/>
      <c r="J41" s="5"/>
      <c r="K41" s="5"/>
      <c r="L41" s="5"/>
      <c r="M41" s="3" t="s">
        <v>638</v>
      </c>
      <c r="N41">
        <v>16.850000000000001</v>
      </c>
      <c r="O41" s="5"/>
      <c r="P41" s="5"/>
      <c r="Q41" s="5"/>
      <c r="R41" s="5"/>
      <c r="S41" s="5"/>
      <c r="T41" s="5"/>
      <c r="U41" s="5"/>
      <c r="V41" s="5"/>
    </row>
    <row r="42" spans="4:22" x14ac:dyDescent="0.3">
      <c r="D42" s="5"/>
      <c r="E42" s="5"/>
      <c r="F42" s="5"/>
      <c r="G42" s="5"/>
      <c r="H42" s="5"/>
      <c r="I42" s="5"/>
      <c r="J42" s="5"/>
      <c r="K42" s="5"/>
      <c r="L42" s="5"/>
      <c r="M42" s="4" t="s">
        <v>639</v>
      </c>
      <c r="N42">
        <v>16.850000000000001</v>
      </c>
      <c r="O42" s="5"/>
      <c r="P42" s="5"/>
      <c r="Q42" s="5"/>
      <c r="R42" s="5"/>
      <c r="S42" s="5"/>
      <c r="T42" s="5"/>
      <c r="U42" s="5"/>
      <c r="V42" s="5"/>
    </row>
    <row r="43" spans="4:22" x14ac:dyDescent="0.3">
      <c r="D43" s="5"/>
      <c r="E43" s="5"/>
      <c r="F43" s="5"/>
      <c r="G43" s="5"/>
      <c r="H43" s="5"/>
      <c r="I43" s="5"/>
      <c r="J43" s="5"/>
      <c r="K43" s="5"/>
      <c r="L43" s="5"/>
      <c r="M43" s="3" t="s">
        <v>365</v>
      </c>
      <c r="N43">
        <v>11.79</v>
      </c>
      <c r="O43" s="5"/>
      <c r="P43" s="5"/>
      <c r="Q43" s="5"/>
      <c r="R43" s="5"/>
      <c r="S43" s="5"/>
      <c r="T43" s="5"/>
      <c r="U43" s="5"/>
      <c r="V43" s="5"/>
    </row>
    <row r="44" spans="4:22" x14ac:dyDescent="0.3">
      <c r="D44" s="5"/>
      <c r="E44" s="5"/>
      <c r="F44" s="5"/>
      <c r="G44" s="5"/>
      <c r="H44" s="5"/>
      <c r="I44" s="5"/>
      <c r="J44" s="5"/>
      <c r="K44" s="5"/>
      <c r="L44" s="5"/>
      <c r="M44" s="4" t="s">
        <v>366</v>
      </c>
      <c r="N44">
        <v>11.79</v>
      </c>
      <c r="O44" s="5"/>
      <c r="P44" s="5"/>
      <c r="Q44" s="5"/>
      <c r="R44" s="5"/>
      <c r="S44" s="5"/>
      <c r="T44" s="5"/>
      <c r="U44" s="5"/>
      <c r="V44" s="5"/>
    </row>
    <row r="45" spans="4:22" x14ac:dyDescent="0.3">
      <c r="D45" s="5"/>
      <c r="E45" s="5"/>
      <c r="F45" s="5"/>
      <c r="G45" s="5"/>
      <c r="H45" s="5"/>
      <c r="I45" s="5"/>
      <c r="J45" s="5"/>
      <c r="K45" s="5"/>
      <c r="L45" s="5"/>
      <c r="M45" s="3" t="s">
        <v>378</v>
      </c>
      <c r="N45">
        <v>10.119999999999999</v>
      </c>
      <c r="O45" s="5"/>
      <c r="P45" s="5"/>
      <c r="Q45" s="5"/>
      <c r="R45" s="5"/>
      <c r="S45" s="5"/>
      <c r="T45" s="5"/>
      <c r="U45" s="5"/>
      <c r="V45" s="5"/>
    </row>
    <row r="46" spans="4:22" x14ac:dyDescent="0.3">
      <c r="D46" s="5"/>
      <c r="E46" s="5"/>
      <c r="F46" s="5"/>
      <c r="G46" s="5"/>
      <c r="H46" s="5"/>
      <c r="I46" s="5"/>
      <c r="J46" s="5"/>
      <c r="K46" s="5"/>
      <c r="L46" s="5"/>
      <c r="M46" s="4" t="s">
        <v>379</v>
      </c>
      <c r="N46">
        <v>10.119999999999999</v>
      </c>
      <c r="O46" s="5"/>
      <c r="P46" s="5"/>
      <c r="Q46" s="5"/>
      <c r="R46" s="5"/>
      <c r="S46" s="5"/>
      <c r="T46" s="5"/>
      <c r="U46" s="5"/>
      <c r="V46" s="5"/>
    </row>
    <row r="47" spans="4:22" x14ac:dyDescent="0.3">
      <c r="D47" s="5"/>
      <c r="E47" s="5"/>
      <c r="F47" s="5"/>
      <c r="G47" s="5"/>
      <c r="H47" s="5"/>
      <c r="I47" s="5"/>
      <c r="J47" s="5"/>
      <c r="K47" s="5"/>
      <c r="L47" s="5"/>
      <c r="M47" s="3" t="s">
        <v>926</v>
      </c>
      <c r="N47">
        <v>9.06</v>
      </c>
      <c r="O47" s="5"/>
      <c r="P47" s="5"/>
      <c r="Q47" s="5"/>
      <c r="R47" s="5"/>
      <c r="S47" s="5"/>
      <c r="T47" s="5"/>
      <c r="U47" s="5"/>
      <c r="V47" s="5"/>
    </row>
    <row r="48" spans="4:22" x14ac:dyDescent="0.3">
      <c r="D48" s="5"/>
      <c r="E48" s="5"/>
      <c r="F48" s="5"/>
      <c r="G48" s="5"/>
      <c r="H48" s="5"/>
      <c r="I48" s="5"/>
      <c r="J48" s="5"/>
      <c r="K48" s="5"/>
      <c r="L48" s="5"/>
      <c r="M48" s="4" t="s">
        <v>927</v>
      </c>
      <c r="N48">
        <v>9.06</v>
      </c>
      <c r="O48" s="5"/>
      <c r="P48" s="5"/>
      <c r="Q48" s="5"/>
      <c r="R48" s="5"/>
      <c r="S48" s="5"/>
      <c r="T48" s="5"/>
      <c r="U48" s="5"/>
      <c r="V48" s="5"/>
    </row>
    <row r="49" spans="4:22" x14ac:dyDescent="0.3">
      <c r="D49" s="5"/>
      <c r="E49" s="5"/>
      <c r="F49" s="5"/>
      <c r="G49" s="5"/>
      <c r="H49" s="5"/>
      <c r="I49" s="5"/>
      <c r="J49" s="5"/>
      <c r="K49" s="5"/>
      <c r="L49" s="5"/>
      <c r="M49" s="3" t="s">
        <v>114</v>
      </c>
      <c r="N49">
        <v>7.42</v>
      </c>
      <c r="O49" s="5"/>
      <c r="P49" s="5"/>
      <c r="Q49" s="5"/>
      <c r="R49" s="5"/>
      <c r="S49" s="5"/>
      <c r="T49" s="5"/>
      <c r="U49" s="5"/>
      <c r="V49" s="5"/>
    </row>
    <row r="50" spans="4:22" x14ac:dyDescent="0.3">
      <c r="D50" s="5"/>
      <c r="E50" s="5"/>
      <c r="F50" s="5"/>
      <c r="G50" s="5"/>
      <c r="H50" s="5"/>
      <c r="I50" s="5"/>
      <c r="J50" s="5"/>
      <c r="K50" s="5"/>
      <c r="L50" s="5"/>
      <c r="M50" s="4" t="s">
        <v>115</v>
      </c>
      <c r="N50">
        <v>7.42</v>
      </c>
      <c r="O50" s="5"/>
      <c r="P50" s="5"/>
      <c r="Q50" s="5"/>
      <c r="R50" s="5"/>
      <c r="S50" s="5"/>
      <c r="T50" s="5"/>
      <c r="U50" s="5"/>
      <c r="V50" s="5"/>
    </row>
    <row r="51" spans="4:22" x14ac:dyDescent="0.3">
      <c r="D51" s="5"/>
      <c r="E51" s="5"/>
      <c r="F51" s="5"/>
      <c r="G51" s="5"/>
      <c r="H51" s="5"/>
      <c r="I51" s="5"/>
      <c r="J51" s="5"/>
      <c r="K51" s="5"/>
      <c r="L51" s="5"/>
      <c r="M51" s="3" t="s">
        <v>1258</v>
      </c>
      <c r="N51">
        <v>118199.49</v>
      </c>
      <c r="O51" s="5"/>
      <c r="P51" s="5"/>
      <c r="Q51" s="5"/>
      <c r="R51" s="5"/>
      <c r="S51" s="5"/>
      <c r="T51" s="5"/>
      <c r="U51" s="5"/>
      <c r="V51" s="5"/>
    </row>
    <row r="52" spans="4:22" x14ac:dyDescent="0.3">
      <c r="D52" s="5"/>
      <c r="E52" s="5"/>
      <c r="F52" s="5"/>
      <c r="G52" s="5"/>
      <c r="H52" s="5"/>
      <c r="I52" s="5"/>
      <c r="J52" s="5"/>
      <c r="K52" s="5"/>
      <c r="L52" s="5"/>
      <c r="M52" s="5"/>
      <c r="N52" s="5"/>
      <c r="O52" s="5"/>
      <c r="P52" s="5"/>
      <c r="Q52" s="5"/>
      <c r="R52" s="5"/>
      <c r="S52" s="5"/>
      <c r="T52" s="5"/>
      <c r="U52" s="5"/>
      <c r="V52" s="5"/>
    </row>
  </sheetData>
  <mergeCells count="1">
    <mergeCell ref="D1:V8"/>
  </mergeCells>
  <conditionalFormatting sqref="M31:M50">
    <cfRule type="colorScale" priority="1">
      <colorScale>
        <cfvo type="min"/>
        <cfvo type="percentile" val="50"/>
        <cfvo type="max"/>
        <color rgb="FFF8696B"/>
        <color rgb="FFFFEB84"/>
        <color rgb="FF63BE7B"/>
      </colorScale>
    </cfRule>
  </conditionalFormatting>
  <conditionalFormatting sqref="M30:N30 M31:M50">
    <cfRule type="colorScale" priority="2">
      <colorScale>
        <cfvo type="min"/>
        <cfvo type="percentile" val="50"/>
        <cfvo type="max"/>
        <color rgb="FFF8696B"/>
        <color rgb="FFFFEB84"/>
        <color rgb="FF63BE7B"/>
      </colorScale>
    </cfRule>
  </conditionalFormatting>
  <conditionalFormatting sqref="Q77:R77 Q78:Q97">
    <cfRule type="colorScale" priority="4">
      <colorScale>
        <cfvo type="min"/>
        <cfvo type="percentile" val="50"/>
        <cfvo type="max"/>
        <color rgb="FFF8696B"/>
        <color rgb="FFFFEB84"/>
        <color rgb="FF63BE7B"/>
      </colorScale>
    </cfRule>
  </conditionalFormatting>
  <conditionalFormatting sqref="Q78:R97">
    <cfRule type="colorScale" priority="3">
      <colorScale>
        <cfvo type="min"/>
        <cfvo type="percentile" val="50"/>
        <cfvo type="max"/>
        <color rgb="FFF8696B"/>
        <color rgb="FFFFEB84"/>
        <color rgb="FF63BE7B"/>
      </colorScale>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C48DF-1E87-49FD-B98E-BD457E94125E}">
  <sheetPr codeName="Sheet5"/>
  <dimension ref="A1:F378"/>
  <sheetViews>
    <sheetView zoomScale="86" zoomScaleNormal="95" workbookViewId="0">
      <selection activeCell="F24" sqref="F24"/>
    </sheetView>
  </sheetViews>
  <sheetFormatPr defaultRowHeight="14.4" x14ac:dyDescent="0.3"/>
  <cols>
    <col min="1" max="1" width="34.88671875" bestFit="1" customWidth="1"/>
    <col min="2" max="2" width="24.33203125" bestFit="1" customWidth="1"/>
    <col min="3" max="3" width="16.5546875" bestFit="1" customWidth="1"/>
    <col min="5" max="5" width="25.109375" bestFit="1" customWidth="1"/>
    <col min="6" max="6" width="11.21875" customWidth="1"/>
  </cols>
  <sheetData>
    <row r="1" spans="1:3" x14ac:dyDescent="0.3">
      <c r="A1" s="2" t="s">
        <v>1285</v>
      </c>
      <c r="B1" t="s">
        <v>1278</v>
      </c>
    </row>
    <row r="3" spans="1:3" x14ac:dyDescent="0.3">
      <c r="A3" s="2" t="s">
        <v>1257</v>
      </c>
      <c r="B3" s="9" t="s">
        <v>1277</v>
      </c>
      <c r="C3" s="8" t="s">
        <v>1279</v>
      </c>
    </row>
    <row r="4" spans="1:3" x14ac:dyDescent="0.3">
      <c r="A4" s="3" t="s">
        <v>614</v>
      </c>
      <c r="B4" s="10">
        <v>0</v>
      </c>
      <c r="C4" s="8">
        <v>3.8899999999999997E-2</v>
      </c>
    </row>
    <row r="5" spans="1:3" x14ac:dyDescent="0.3">
      <c r="A5" s="4" t="s">
        <v>615</v>
      </c>
      <c r="B5" s="10">
        <v>0</v>
      </c>
      <c r="C5" s="8">
        <v>3.8899999999999997E-2</v>
      </c>
    </row>
    <row r="6" spans="1:3" x14ac:dyDescent="0.3">
      <c r="A6" s="3" t="s">
        <v>669</v>
      </c>
      <c r="B6" s="10">
        <v>0</v>
      </c>
      <c r="C6" s="8">
        <v>3.32E-2</v>
      </c>
    </row>
    <row r="7" spans="1:3" x14ac:dyDescent="0.3">
      <c r="A7" s="4" t="s">
        <v>670</v>
      </c>
      <c r="B7" s="10">
        <v>0</v>
      </c>
      <c r="C7" s="8">
        <v>3.32E-2</v>
      </c>
    </row>
    <row r="8" spans="1:3" x14ac:dyDescent="0.3">
      <c r="A8" s="3" t="s">
        <v>1061</v>
      </c>
      <c r="B8" s="10">
        <v>0</v>
      </c>
      <c r="C8" s="8">
        <v>2.9999999999999997E-4</v>
      </c>
    </row>
    <row r="9" spans="1:3" x14ac:dyDescent="0.3">
      <c r="A9" s="4" t="s">
        <v>1062</v>
      </c>
      <c r="B9" s="10">
        <v>0</v>
      </c>
      <c r="C9" s="8">
        <v>2.9999999999999997E-4</v>
      </c>
    </row>
    <row r="10" spans="1:3" x14ac:dyDescent="0.3">
      <c r="A10" s="3" t="s">
        <v>174</v>
      </c>
      <c r="B10" s="10">
        <v>0</v>
      </c>
      <c r="C10" s="8">
        <v>0.99829999999999997</v>
      </c>
    </row>
    <row r="11" spans="1:3" x14ac:dyDescent="0.3">
      <c r="A11" s="4" t="s">
        <v>175</v>
      </c>
      <c r="B11" s="10">
        <v>0</v>
      </c>
      <c r="C11" s="8">
        <v>0.99829999999999997</v>
      </c>
    </row>
    <row r="12" spans="1:3" x14ac:dyDescent="0.3">
      <c r="A12" s="3" t="s">
        <v>589</v>
      </c>
      <c r="B12" s="10">
        <v>0</v>
      </c>
      <c r="C12" s="8">
        <v>3.7900000000000003E-2</v>
      </c>
    </row>
    <row r="13" spans="1:3" x14ac:dyDescent="0.3">
      <c r="A13" s="4" t="s">
        <v>590</v>
      </c>
      <c r="B13" s="10">
        <v>0</v>
      </c>
      <c r="C13" s="8">
        <v>3.7900000000000003E-2</v>
      </c>
    </row>
    <row r="14" spans="1:3" x14ac:dyDescent="0.3">
      <c r="A14" s="3" t="s">
        <v>559</v>
      </c>
      <c r="B14" s="10">
        <v>0</v>
      </c>
      <c r="C14" s="8">
        <v>0.1085</v>
      </c>
    </row>
    <row r="15" spans="1:3" x14ac:dyDescent="0.3">
      <c r="A15" s="4" t="s">
        <v>560</v>
      </c>
      <c r="B15" s="10">
        <v>0</v>
      </c>
      <c r="C15" s="8">
        <v>0.1085</v>
      </c>
    </row>
    <row r="16" spans="1:3" x14ac:dyDescent="0.3">
      <c r="A16" s="3" t="s">
        <v>1</v>
      </c>
      <c r="B16" s="10">
        <v>0</v>
      </c>
      <c r="C16" s="8">
        <v>7.4000000000000003E-3</v>
      </c>
    </row>
    <row r="17" spans="1:6" x14ac:dyDescent="0.3">
      <c r="A17" s="4" t="s">
        <v>405</v>
      </c>
      <c r="B17" s="10">
        <v>0</v>
      </c>
      <c r="C17" s="8">
        <v>7.4000000000000003E-3</v>
      </c>
    </row>
    <row r="18" spans="1:6" x14ac:dyDescent="0.3">
      <c r="A18" s="3" t="s">
        <v>1237</v>
      </c>
      <c r="B18" s="10">
        <v>0</v>
      </c>
      <c r="C18" s="8">
        <v>7.3000000000000001E-3</v>
      </c>
      <c r="E18" t="s">
        <v>1280</v>
      </c>
      <c r="F18" t="str">
        <f>_xlfn.XLOOKUP(MIN(B:B), B:B, A:A)</f>
        <v>Magpie</v>
      </c>
    </row>
    <row r="19" spans="1:6" x14ac:dyDescent="0.3">
      <c r="A19" s="4" t="s">
        <v>1238</v>
      </c>
      <c r="B19" s="10">
        <v>0</v>
      </c>
      <c r="C19" s="8">
        <v>7.3000000000000001E-3</v>
      </c>
    </row>
    <row r="20" spans="1:6" x14ac:dyDescent="0.3">
      <c r="A20" s="3" t="s">
        <v>282</v>
      </c>
      <c r="B20" s="10">
        <v>0</v>
      </c>
      <c r="C20" s="8">
        <v>0.69950000000000001</v>
      </c>
      <c r="E20" t="s">
        <v>1281</v>
      </c>
      <c r="F20" t="str">
        <f>_xlfn.XLOOKUP(
    _xlfn.XLOOKUP(MIN(B:B), B:B, A:A),
    'Cleaned_Data'!A:A,
    'Cleaned_Data'!B:B
)</f>
        <v>MGP</v>
      </c>
    </row>
    <row r="21" spans="1:6" x14ac:dyDescent="0.3">
      <c r="A21" s="4" t="s">
        <v>283</v>
      </c>
      <c r="B21" s="10">
        <v>0</v>
      </c>
      <c r="C21" s="8">
        <v>0.69950000000000001</v>
      </c>
    </row>
    <row r="22" spans="1:6" x14ac:dyDescent="0.3">
      <c r="A22" s="3" t="s">
        <v>214</v>
      </c>
      <c r="B22" s="10">
        <v>0</v>
      </c>
      <c r="C22" s="8">
        <v>0.99950000000000006</v>
      </c>
      <c r="E22" t="s">
        <v>1282</v>
      </c>
      <c r="F22" s="8">
        <f>_xlfn.XLOOKUP(MIN(B:B), B:B, C:C)</f>
        <v>3.8899999999999997E-2</v>
      </c>
    </row>
    <row r="23" spans="1:6" x14ac:dyDescent="0.3">
      <c r="A23" s="4" t="s">
        <v>215</v>
      </c>
      <c r="B23" s="10">
        <v>0</v>
      </c>
      <c r="C23" s="8">
        <v>0.99950000000000006</v>
      </c>
    </row>
    <row r="24" spans="1:6" x14ac:dyDescent="0.3">
      <c r="A24" s="3" t="s">
        <v>74</v>
      </c>
      <c r="B24" s="10">
        <v>6.4333333333333334E-3</v>
      </c>
      <c r="C24" s="8">
        <v>0.99950000000000006</v>
      </c>
      <c r="E24" t="s">
        <v>1283</v>
      </c>
      <c r="F24" s="10">
        <f>MIN(B:B)</f>
        <v>0</v>
      </c>
    </row>
    <row r="25" spans="1:6" x14ac:dyDescent="0.3">
      <c r="A25" s="4" t="s">
        <v>75</v>
      </c>
      <c r="B25" s="10">
        <v>6.4333333333333334E-3</v>
      </c>
      <c r="C25" s="8">
        <v>0.99950000000000006</v>
      </c>
    </row>
    <row r="26" spans="1:6" x14ac:dyDescent="0.3">
      <c r="A26" s="3" t="s">
        <v>238</v>
      </c>
      <c r="B26" s="10">
        <v>6.4333333333333334E-3</v>
      </c>
      <c r="C26" s="8">
        <v>0.99970000000000003</v>
      </c>
      <c r="E26" t="s">
        <v>1284</v>
      </c>
      <c r="F26">
        <f>COUNTA(A:A)-1</f>
        <v>376</v>
      </c>
    </row>
    <row r="27" spans="1:6" x14ac:dyDescent="0.3">
      <c r="A27" s="4" t="s">
        <v>238</v>
      </c>
      <c r="B27" s="10">
        <v>6.4333333333333334E-3</v>
      </c>
      <c r="C27" s="8">
        <v>0.99970000000000003</v>
      </c>
    </row>
    <row r="28" spans="1:6" x14ac:dyDescent="0.3">
      <c r="A28" s="3" t="s">
        <v>675</v>
      </c>
      <c r="B28" s="10">
        <v>6.4333333333333334E-3</v>
      </c>
      <c r="C28" s="8">
        <v>2.9899999999999999E-2</v>
      </c>
    </row>
    <row r="29" spans="1:6" x14ac:dyDescent="0.3">
      <c r="A29" s="4" t="s">
        <v>676</v>
      </c>
      <c r="B29" s="10">
        <v>6.4333333333333334E-3</v>
      </c>
      <c r="C29" s="8">
        <v>2.9899999999999999E-2</v>
      </c>
    </row>
    <row r="30" spans="1:6" x14ac:dyDescent="0.3">
      <c r="A30" s="3" t="s">
        <v>219</v>
      </c>
      <c r="B30" s="10">
        <v>1.2866666666666667E-2</v>
      </c>
      <c r="C30" s="8">
        <v>0.99960000000000004</v>
      </c>
    </row>
    <row r="31" spans="1:6" x14ac:dyDescent="0.3">
      <c r="A31" s="4" t="s">
        <v>220</v>
      </c>
      <c r="B31" s="10">
        <v>1.2866666666666667E-2</v>
      </c>
      <c r="C31" s="8">
        <v>0.99960000000000004</v>
      </c>
    </row>
    <row r="32" spans="1:6" x14ac:dyDescent="0.3">
      <c r="A32" s="3" t="s">
        <v>504</v>
      </c>
      <c r="B32" s="10">
        <v>1.2866666666666667E-2</v>
      </c>
      <c r="C32" s="8">
        <v>1.23</v>
      </c>
    </row>
    <row r="33" spans="1:3" x14ac:dyDescent="0.3">
      <c r="A33" s="4" t="s">
        <v>505</v>
      </c>
      <c r="B33" s="10">
        <v>1.2866666666666667E-2</v>
      </c>
      <c r="C33" s="8">
        <v>1.23</v>
      </c>
    </row>
    <row r="34" spans="1:3" x14ac:dyDescent="0.3">
      <c r="A34" s="3" t="s">
        <v>1231</v>
      </c>
      <c r="B34" s="10">
        <v>1.2866666666666667E-2</v>
      </c>
      <c r="C34" s="8">
        <v>1E-4</v>
      </c>
    </row>
    <row r="35" spans="1:3" x14ac:dyDescent="0.3">
      <c r="A35" s="4" t="s">
        <v>1232</v>
      </c>
      <c r="B35" s="10">
        <v>1.2866666666666667E-2</v>
      </c>
      <c r="C35" s="8">
        <v>1E-4</v>
      </c>
    </row>
    <row r="36" spans="1:3" x14ac:dyDescent="0.3">
      <c r="A36" s="3" t="s">
        <v>155</v>
      </c>
      <c r="B36" s="10">
        <v>1.2866666666666667E-2</v>
      </c>
      <c r="C36" s="8">
        <v>1</v>
      </c>
    </row>
    <row r="37" spans="1:3" x14ac:dyDescent="0.3">
      <c r="A37" s="4" t="s">
        <v>156</v>
      </c>
      <c r="B37" s="10">
        <v>1.2866666666666667E-2</v>
      </c>
      <c r="C37" s="8">
        <v>1</v>
      </c>
    </row>
    <row r="38" spans="1:3" x14ac:dyDescent="0.3">
      <c r="A38" s="3" t="s">
        <v>848</v>
      </c>
      <c r="B38" s="10">
        <v>1.2866666666666667E-2</v>
      </c>
      <c r="C38" s="8">
        <v>1.9300000000000001E-2</v>
      </c>
    </row>
    <row r="39" spans="1:3" x14ac:dyDescent="0.3">
      <c r="A39" s="4" t="s">
        <v>849</v>
      </c>
      <c r="B39" s="10">
        <v>1.2866666666666667E-2</v>
      </c>
      <c r="C39" s="8">
        <v>1.9300000000000001E-2</v>
      </c>
    </row>
    <row r="40" spans="1:3" x14ac:dyDescent="0.3">
      <c r="A40" s="3" t="s">
        <v>294</v>
      </c>
      <c r="B40" s="10">
        <v>1.2866666666666667E-2</v>
      </c>
      <c r="C40" s="8">
        <v>8.6499999999999994E-2</v>
      </c>
    </row>
    <row r="41" spans="1:3" x14ac:dyDescent="0.3">
      <c r="A41" s="4" t="s">
        <v>295</v>
      </c>
      <c r="B41" s="10">
        <v>1.2866666666666667E-2</v>
      </c>
      <c r="C41" s="8">
        <v>8.6499999999999994E-2</v>
      </c>
    </row>
    <row r="42" spans="1:3" x14ac:dyDescent="0.3">
      <c r="A42" s="3" t="s">
        <v>459</v>
      </c>
      <c r="B42" s="10">
        <v>1.9300000000000001E-2</v>
      </c>
      <c r="C42" s="8">
        <v>0.1618</v>
      </c>
    </row>
    <row r="43" spans="1:3" x14ac:dyDescent="0.3">
      <c r="A43" s="4" t="s">
        <v>460</v>
      </c>
      <c r="B43" s="10">
        <v>1.9300000000000001E-2</v>
      </c>
      <c r="C43" s="8">
        <v>0.1618</v>
      </c>
    </row>
    <row r="44" spans="1:3" x14ac:dyDescent="0.3">
      <c r="A44" s="3" t="s">
        <v>1048</v>
      </c>
      <c r="B44" s="10">
        <v>1.9300000000000001E-2</v>
      </c>
      <c r="C44" s="8">
        <v>4.1999999999999997E-3</v>
      </c>
    </row>
    <row r="45" spans="1:3" x14ac:dyDescent="0.3">
      <c r="A45" s="4" t="s">
        <v>1049</v>
      </c>
      <c r="B45" s="10">
        <v>1.9300000000000001E-2</v>
      </c>
      <c r="C45" s="8">
        <v>4.1999999999999997E-3</v>
      </c>
    </row>
    <row r="46" spans="1:3" x14ac:dyDescent="0.3">
      <c r="A46" s="3" t="s">
        <v>195</v>
      </c>
      <c r="B46" s="10">
        <v>1.9300000000000001E-2</v>
      </c>
      <c r="C46" s="8">
        <v>0.99980000000000002</v>
      </c>
    </row>
    <row r="47" spans="1:3" x14ac:dyDescent="0.3">
      <c r="A47" s="4" t="s">
        <v>196</v>
      </c>
      <c r="B47" s="10">
        <v>1.9300000000000001E-2</v>
      </c>
      <c r="C47" s="8">
        <v>0.99980000000000002</v>
      </c>
    </row>
    <row r="48" spans="1:3" x14ac:dyDescent="0.3">
      <c r="A48" s="3" t="s">
        <v>945</v>
      </c>
      <c r="B48" s="10">
        <v>1.9300000000000001E-2</v>
      </c>
      <c r="C48" s="8">
        <v>2.4400000000000002E-2</v>
      </c>
    </row>
    <row r="49" spans="1:3" x14ac:dyDescent="0.3">
      <c r="A49" s="4" t="s">
        <v>946</v>
      </c>
      <c r="B49" s="10">
        <v>1.9300000000000001E-2</v>
      </c>
      <c r="C49" s="8">
        <v>2.4400000000000002E-2</v>
      </c>
    </row>
    <row r="50" spans="1:3" x14ac:dyDescent="0.3">
      <c r="A50" s="3" t="s">
        <v>595</v>
      </c>
      <c r="B50" s="10">
        <v>1.9300000000000001E-2</v>
      </c>
      <c r="C50" s="8">
        <v>0.02</v>
      </c>
    </row>
    <row r="51" spans="1:3" x14ac:dyDescent="0.3">
      <c r="A51" s="4" t="s">
        <v>596</v>
      </c>
      <c r="B51" s="10">
        <v>1.9300000000000001E-2</v>
      </c>
      <c r="C51" s="8">
        <v>0.02</v>
      </c>
    </row>
    <row r="52" spans="1:3" x14ac:dyDescent="0.3">
      <c r="A52" s="3" t="s">
        <v>584</v>
      </c>
      <c r="B52" s="10">
        <v>1.9300000000000001E-2</v>
      </c>
      <c r="C52" s="8">
        <v>0.99880000000000002</v>
      </c>
    </row>
    <row r="53" spans="1:3" x14ac:dyDescent="0.3">
      <c r="A53" s="4" t="s">
        <v>584</v>
      </c>
      <c r="B53" s="10">
        <v>1.9300000000000001E-2</v>
      </c>
      <c r="C53" s="8">
        <v>0.99880000000000002</v>
      </c>
    </row>
    <row r="54" spans="1:3" x14ac:dyDescent="0.3">
      <c r="A54" s="3" t="s">
        <v>998</v>
      </c>
      <c r="B54" s="10">
        <v>1.9300000000000001E-2</v>
      </c>
      <c r="C54" s="8">
        <v>8.9999999999999998E-4</v>
      </c>
    </row>
    <row r="55" spans="1:3" x14ac:dyDescent="0.3">
      <c r="A55" s="4" t="s">
        <v>999</v>
      </c>
      <c r="B55" s="10">
        <v>1.9300000000000001E-2</v>
      </c>
      <c r="C55" s="8">
        <v>8.9999999999999998E-4</v>
      </c>
    </row>
    <row r="56" spans="1:3" x14ac:dyDescent="0.3">
      <c r="A56" s="3" t="s">
        <v>1195</v>
      </c>
      <c r="B56" s="10">
        <v>1.9300000000000001E-2</v>
      </c>
      <c r="C56" s="8">
        <v>2.0400000000000001E-2</v>
      </c>
    </row>
    <row r="57" spans="1:3" x14ac:dyDescent="0.3">
      <c r="A57" s="4" t="s">
        <v>1196</v>
      </c>
      <c r="B57" s="10">
        <v>1.9300000000000001E-2</v>
      </c>
      <c r="C57" s="8">
        <v>2.0400000000000001E-2</v>
      </c>
    </row>
    <row r="58" spans="1:3" x14ac:dyDescent="0.3">
      <c r="A58" s="3" t="s">
        <v>141</v>
      </c>
      <c r="B58" s="10">
        <v>2.5733333333333334E-2</v>
      </c>
      <c r="C58" s="8">
        <v>4.54</v>
      </c>
    </row>
    <row r="59" spans="1:3" x14ac:dyDescent="0.3">
      <c r="A59" s="4" t="s">
        <v>142</v>
      </c>
      <c r="B59" s="10">
        <v>2.5733333333333334E-2</v>
      </c>
      <c r="C59" s="8">
        <v>4.54</v>
      </c>
    </row>
    <row r="60" spans="1:3" x14ac:dyDescent="0.3">
      <c r="A60" s="3" t="s">
        <v>209</v>
      </c>
      <c r="B60" s="10">
        <v>2.5733333333333334E-2</v>
      </c>
      <c r="C60" s="8">
        <v>7.1400000000000005E-2</v>
      </c>
    </row>
    <row r="61" spans="1:3" x14ac:dyDescent="0.3">
      <c r="A61" s="4" t="s">
        <v>209</v>
      </c>
      <c r="B61" s="10">
        <v>2.5733333333333334E-2</v>
      </c>
      <c r="C61" s="8">
        <v>7.1400000000000005E-2</v>
      </c>
    </row>
    <row r="62" spans="1:3" x14ac:dyDescent="0.3">
      <c r="A62" s="3" t="s">
        <v>620</v>
      </c>
      <c r="B62" s="10">
        <v>2.5733333333333334E-2</v>
      </c>
      <c r="C62" s="8">
        <v>9.4000000000000004E-3</v>
      </c>
    </row>
    <row r="63" spans="1:3" x14ac:dyDescent="0.3">
      <c r="A63" s="4" t="s">
        <v>621</v>
      </c>
      <c r="B63" s="10">
        <v>2.5733333333333334E-2</v>
      </c>
      <c r="C63" s="8">
        <v>9.4000000000000004E-3</v>
      </c>
    </row>
    <row r="64" spans="1:3" x14ac:dyDescent="0.3">
      <c r="A64" s="3" t="s">
        <v>771</v>
      </c>
      <c r="B64" s="10">
        <v>3.216666666666667E-2</v>
      </c>
      <c r="C64" s="8">
        <v>0.99929999999999997</v>
      </c>
    </row>
    <row r="65" spans="1:3" x14ac:dyDescent="0.3">
      <c r="A65" s="4" t="s">
        <v>772</v>
      </c>
      <c r="B65" s="10">
        <v>3.216666666666667E-2</v>
      </c>
      <c r="C65" s="8">
        <v>0.99929999999999997</v>
      </c>
    </row>
    <row r="66" spans="1:3" x14ac:dyDescent="0.3">
      <c r="A66" s="3" t="s">
        <v>720</v>
      </c>
      <c r="B66" s="10">
        <v>3.216666666666667E-2</v>
      </c>
      <c r="C66" s="8">
        <v>5.6399999999999999E-2</v>
      </c>
    </row>
    <row r="67" spans="1:3" x14ac:dyDescent="0.3">
      <c r="A67" s="4" t="s">
        <v>721</v>
      </c>
      <c r="B67" s="10">
        <v>3.216666666666667E-2</v>
      </c>
      <c r="C67" s="8">
        <v>5.6399999999999999E-2</v>
      </c>
    </row>
    <row r="68" spans="1:3" x14ac:dyDescent="0.3">
      <c r="A68" s="3" t="s">
        <v>249</v>
      </c>
      <c r="B68" s="10">
        <v>3.216666666666667E-2</v>
      </c>
      <c r="C68" s="8">
        <v>2.6700000000000002E-2</v>
      </c>
    </row>
    <row r="69" spans="1:3" x14ac:dyDescent="0.3">
      <c r="A69" s="4" t="s">
        <v>250</v>
      </c>
      <c r="B69" s="10">
        <v>3.216666666666667E-2</v>
      </c>
      <c r="C69" s="8">
        <v>2.6700000000000002E-2</v>
      </c>
    </row>
    <row r="70" spans="1:3" x14ac:dyDescent="0.3">
      <c r="A70" s="3" t="s">
        <v>101</v>
      </c>
      <c r="B70" s="10">
        <v>3.8600000000000002E-2</v>
      </c>
      <c r="C70" s="8">
        <v>6.6699999999999995E-2</v>
      </c>
    </row>
    <row r="71" spans="1:3" x14ac:dyDescent="0.3">
      <c r="A71" s="4" t="s">
        <v>102</v>
      </c>
      <c r="B71" s="10">
        <v>3.8600000000000002E-2</v>
      </c>
      <c r="C71" s="8">
        <v>6.6699999999999995E-2</v>
      </c>
    </row>
    <row r="72" spans="1:3" x14ac:dyDescent="0.3">
      <c r="A72" s="3" t="s">
        <v>866</v>
      </c>
      <c r="B72" s="10">
        <v>3.8600000000000002E-2</v>
      </c>
      <c r="C72" s="8">
        <v>2.9999999999999997E-4</v>
      </c>
    </row>
    <row r="73" spans="1:3" x14ac:dyDescent="0.3">
      <c r="A73" s="4" t="s">
        <v>867</v>
      </c>
      <c r="B73" s="10">
        <v>3.8600000000000002E-2</v>
      </c>
      <c r="C73" s="8">
        <v>2.9999999999999997E-4</v>
      </c>
    </row>
    <row r="74" spans="1:3" x14ac:dyDescent="0.3">
      <c r="A74" s="3" t="s">
        <v>47</v>
      </c>
      <c r="B74" s="10">
        <v>3.8600000000000002E-2</v>
      </c>
      <c r="C74" s="8">
        <v>0.99970000000000003</v>
      </c>
    </row>
    <row r="75" spans="1:3" x14ac:dyDescent="0.3">
      <c r="A75" s="4" t="s">
        <v>47</v>
      </c>
      <c r="B75" s="10">
        <v>3.8600000000000002E-2</v>
      </c>
      <c r="C75" s="8">
        <v>0.99970000000000003</v>
      </c>
    </row>
    <row r="76" spans="1:3" x14ac:dyDescent="0.3">
      <c r="A76" s="3" t="s">
        <v>572</v>
      </c>
      <c r="B76" s="10">
        <v>3.8600000000000002E-2</v>
      </c>
      <c r="C76" s="8">
        <v>2.5499999999999998E-2</v>
      </c>
    </row>
    <row r="77" spans="1:3" x14ac:dyDescent="0.3">
      <c r="A77" s="4" t="s">
        <v>573</v>
      </c>
      <c r="B77" s="10">
        <v>3.8600000000000002E-2</v>
      </c>
      <c r="C77" s="8">
        <v>2.5499999999999998E-2</v>
      </c>
    </row>
    <row r="78" spans="1:3" x14ac:dyDescent="0.3">
      <c r="A78" s="3" t="s">
        <v>352</v>
      </c>
      <c r="B78" s="10">
        <v>4.5033333333333335E-2</v>
      </c>
      <c r="C78" s="8">
        <v>7.9799999999999996E-2</v>
      </c>
    </row>
    <row r="79" spans="1:3" x14ac:dyDescent="0.3">
      <c r="A79" s="4" t="s">
        <v>353</v>
      </c>
      <c r="B79" s="10">
        <v>4.5033333333333335E-2</v>
      </c>
      <c r="C79" s="8">
        <v>7.9799999999999996E-2</v>
      </c>
    </row>
    <row r="80" spans="1:3" x14ac:dyDescent="0.3">
      <c r="A80" s="3" t="s">
        <v>27</v>
      </c>
      <c r="B80" s="10">
        <v>4.5033333333333335E-2</v>
      </c>
      <c r="C80" s="8">
        <v>1</v>
      </c>
    </row>
    <row r="81" spans="1:3" x14ac:dyDescent="0.3">
      <c r="A81" s="4" t="s">
        <v>28</v>
      </c>
      <c r="B81" s="10">
        <v>4.5033333333333335E-2</v>
      </c>
      <c r="C81" s="8">
        <v>1</v>
      </c>
    </row>
    <row r="82" spans="1:3" x14ac:dyDescent="0.3">
      <c r="A82" s="3" t="s">
        <v>626</v>
      </c>
      <c r="B82" s="10">
        <v>4.5033333333333335E-2</v>
      </c>
      <c r="C82" s="8">
        <v>6.6400000000000001E-2</v>
      </c>
    </row>
    <row r="83" spans="1:3" x14ac:dyDescent="0.3">
      <c r="A83" s="4" t="s">
        <v>627</v>
      </c>
      <c r="B83" s="10">
        <v>4.5033333333333335E-2</v>
      </c>
      <c r="C83" s="8">
        <v>6.6400000000000001E-2</v>
      </c>
    </row>
    <row r="84" spans="1:3" x14ac:dyDescent="0.3">
      <c r="A84" s="3" t="s">
        <v>358</v>
      </c>
      <c r="B84" s="10">
        <v>5.1466666666666668E-2</v>
      </c>
      <c r="C84" s="8">
        <v>2.8999999999999998E-3</v>
      </c>
    </row>
    <row r="85" spans="1:3" x14ac:dyDescent="0.3">
      <c r="A85" s="4" t="s">
        <v>359</v>
      </c>
      <c r="B85" s="10">
        <v>5.1466666666666668E-2</v>
      </c>
      <c r="C85" s="8">
        <v>2.8999999999999998E-3</v>
      </c>
    </row>
    <row r="86" spans="1:3" x14ac:dyDescent="0.3">
      <c r="A86" s="3" t="s">
        <v>1123</v>
      </c>
      <c r="B86" s="10">
        <v>5.79E-2</v>
      </c>
      <c r="C86" s="8">
        <v>8.8499999999999995E-2</v>
      </c>
    </row>
    <row r="87" spans="1:3" x14ac:dyDescent="0.3">
      <c r="A87" s="4" t="s">
        <v>1124</v>
      </c>
      <c r="B87" s="10">
        <v>5.79E-2</v>
      </c>
      <c r="C87" s="8">
        <v>8.8499999999999995E-2</v>
      </c>
    </row>
    <row r="88" spans="1:3" x14ac:dyDescent="0.3">
      <c r="A88" s="3" t="s">
        <v>915</v>
      </c>
      <c r="B88" s="10">
        <v>5.79E-2</v>
      </c>
      <c r="C88" s="8">
        <v>5.79E-2</v>
      </c>
    </row>
    <row r="89" spans="1:3" x14ac:dyDescent="0.3">
      <c r="A89" s="4" t="s">
        <v>916</v>
      </c>
      <c r="B89" s="10">
        <v>5.79E-2</v>
      </c>
      <c r="C89" s="8">
        <v>5.79E-2</v>
      </c>
    </row>
    <row r="90" spans="1:3" x14ac:dyDescent="0.3">
      <c r="A90" s="3" t="s">
        <v>777</v>
      </c>
      <c r="B90" s="10">
        <v>5.79E-2</v>
      </c>
      <c r="C90" s="8">
        <v>3.38</v>
      </c>
    </row>
    <row r="91" spans="1:3" x14ac:dyDescent="0.3">
      <c r="A91" s="4" t="s">
        <v>778</v>
      </c>
      <c r="B91" s="10">
        <v>5.79E-2</v>
      </c>
      <c r="C91" s="8">
        <v>3.38</v>
      </c>
    </row>
    <row r="92" spans="1:3" x14ac:dyDescent="0.3">
      <c r="A92" s="3" t="s">
        <v>339</v>
      </c>
      <c r="B92" s="10">
        <v>5.79E-2</v>
      </c>
      <c r="C92" s="8">
        <v>0.72919999999999996</v>
      </c>
    </row>
    <row r="93" spans="1:3" x14ac:dyDescent="0.3">
      <c r="A93" s="4" t="s">
        <v>340</v>
      </c>
      <c r="B93" s="10">
        <v>5.79E-2</v>
      </c>
      <c r="C93" s="8">
        <v>0.72919999999999996</v>
      </c>
    </row>
    <row r="94" spans="1:3" x14ac:dyDescent="0.3">
      <c r="A94" s="3" t="s">
        <v>975</v>
      </c>
      <c r="B94" s="10">
        <v>6.433333333333334E-2</v>
      </c>
      <c r="C94" s="8">
        <v>2.76E-2</v>
      </c>
    </row>
    <row r="95" spans="1:3" x14ac:dyDescent="0.3">
      <c r="A95" s="4" t="s">
        <v>976</v>
      </c>
      <c r="B95" s="10">
        <v>6.433333333333334E-2</v>
      </c>
      <c r="C95" s="8">
        <v>2.76E-2</v>
      </c>
    </row>
    <row r="96" spans="1:3" x14ac:dyDescent="0.3">
      <c r="A96" s="3" t="s">
        <v>60</v>
      </c>
      <c r="B96" s="10">
        <v>6.433333333333334E-2</v>
      </c>
      <c r="C96" s="8">
        <v>0.35020000000000001</v>
      </c>
    </row>
    <row r="97" spans="1:3" x14ac:dyDescent="0.3">
      <c r="A97" s="4" t="s">
        <v>61</v>
      </c>
      <c r="B97" s="10">
        <v>6.433333333333334E-2</v>
      </c>
      <c r="C97" s="8">
        <v>0.35020000000000001</v>
      </c>
    </row>
    <row r="98" spans="1:3" x14ac:dyDescent="0.3">
      <c r="A98" s="3" t="s">
        <v>276</v>
      </c>
      <c r="B98" s="10">
        <v>6.433333333333334E-2</v>
      </c>
      <c r="C98" s="8">
        <v>1.62</v>
      </c>
    </row>
    <row r="99" spans="1:3" x14ac:dyDescent="0.3">
      <c r="A99" s="4" t="s">
        <v>277</v>
      </c>
      <c r="B99" s="10">
        <v>6.433333333333334E-2</v>
      </c>
      <c r="C99" s="8">
        <v>1.62</v>
      </c>
    </row>
    <row r="100" spans="1:3" x14ac:dyDescent="0.3">
      <c r="A100" s="3" t="s">
        <v>902</v>
      </c>
      <c r="B100" s="10">
        <v>7.0766666666666658E-2</v>
      </c>
      <c r="C100" s="8">
        <v>5.8999999999999999E-3</v>
      </c>
    </row>
    <row r="101" spans="1:3" x14ac:dyDescent="0.3">
      <c r="A101" s="4" t="s">
        <v>903</v>
      </c>
      <c r="B101" s="10">
        <v>7.0766666666666658E-2</v>
      </c>
      <c r="C101" s="8">
        <v>5.8999999999999999E-3</v>
      </c>
    </row>
    <row r="102" spans="1:3" x14ac:dyDescent="0.3">
      <c r="A102" s="3" t="s">
        <v>896</v>
      </c>
      <c r="B102" s="10">
        <v>7.0766666666666658E-2</v>
      </c>
      <c r="C102" s="8">
        <v>0.26100000000000001</v>
      </c>
    </row>
    <row r="103" spans="1:3" x14ac:dyDescent="0.3">
      <c r="A103" s="4" t="s">
        <v>897</v>
      </c>
      <c r="B103" s="10">
        <v>7.0766666666666658E-2</v>
      </c>
      <c r="C103" s="8">
        <v>0.26100000000000001</v>
      </c>
    </row>
    <row r="104" spans="1:3" x14ac:dyDescent="0.3">
      <c r="A104" s="3" t="s">
        <v>168</v>
      </c>
      <c r="B104" s="10">
        <v>7.0766666666666658E-2</v>
      </c>
      <c r="C104" s="8">
        <v>1.1000000000000001</v>
      </c>
    </row>
    <row r="105" spans="1:3" x14ac:dyDescent="0.3">
      <c r="A105" s="4" t="s">
        <v>169</v>
      </c>
      <c r="B105" s="10">
        <v>7.0766666666666658E-2</v>
      </c>
      <c r="C105" s="8">
        <v>1.1000000000000001</v>
      </c>
    </row>
    <row r="106" spans="1:3" x14ac:dyDescent="0.3">
      <c r="A106" s="3" t="s">
        <v>120</v>
      </c>
      <c r="B106" s="10">
        <v>7.0766666666666658E-2</v>
      </c>
      <c r="C106" s="8">
        <v>0.57740000000000002</v>
      </c>
    </row>
    <row r="107" spans="1:3" x14ac:dyDescent="0.3">
      <c r="A107" s="4" t="s">
        <v>121</v>
      </c>
      <c r="B107" s="10">
        <v>7.0766666666666658E-2</v>
      </c>
      <c r="C107" s="8">
        <v>0.57740000000000002</v>
      </c>
    </row>
    <row r="108" spans="1:3" x14ac:dyDescent="0.3">
      <c r="A108" s="3" t="s">
        <v>657</v>
      </c>
      <c r="B108" s="10">
        <v>7.0766666666666658E-2</v>
      </c>
      <c r="C108" s="8">
        <v>4.0000000000000002E-4</v>
      </c>
    </row>
    <row r="109" spans="1:3" x14ac:dyDescent="0.3">
      <c r="A109" s="4" t="s">
        <v>658</v>
      </c>
      <c r="B109" s="10">
        <v>7.0766666666666658E-2</v>
      </c>
      <c r="C109" s="8">
        <v>4.0000000000000002E-4</v>
      </c>
    </row>
    <row r="110" spans="1:3" x14ac:dyDescent="0.3">
      <c r="A110" s="3" t="s">
        <v>1171</v>
      </c>
      <c r="B110" s="10">
        <v>7.0766666666666658E-2</v>
      </c>
      <c r="C110" s="8">
        <v>3.7999999999999999E-2</v>
      </c>
    </row>
    <row r="111" spans="1:3" x14ac:dyDescent="0.3">
      <c r="A111" s="4" t="s">
        <v>1172</v>
      </c>
      <c r="B111" s="10">
        <v>7.0766666666666658E-2</v>
      </c>
      <c r="C111" s="8">
        <v>3.7999999999999999E-2</v>
      </c>
    </row>
    <row r="112" spans="1:3" x14ac:dyDescent="0.3">
      <c r="A112" s="3" t="s">
        <v>471</v>
      </c>
      <c r="B112" s="10">
        <v>7.7200000000000005E-2</v>
      </c>
      <c r="C112" s="8">
        <v>2.0500000000000001E-2</v>
      </c>
    </row>
    <row r="113" spans="1:3" x14ac:dyDescent="0.3">
      <c r="A113" s="4" t="s">
        <v>472</v>
      </c>
      <c r="B113" s="10">
        <v>7.7200000000000005E-2</v>
      </c>
      <c r="C113" s="8">
        <v>2.0500000000000001E-2</v>
      </c>
    </row>
    <row r="114" spans="1:3" x14ac:dyDescent="0.3">
      <c r="A114" s="3" t="s">
        <v>884</v>
      </c>
      <c r="B114" s="10">
        <v>7.7200000000000005E-2</v>
      </c>
      <c r="C114" s="8">
        <v>4.8999999999999998E-3</v>
      </c>
    </row>
    <row r="115" spans="1:3" x14ac:dyDescent="0.3">
      <c r="A115" s="4" t="s">
        <v>885</v>
      </c>
      <c r="B115" s="10">
        <v>7.7200000000000005E-2</v>
      </c>
      <c r="C115" s="8">
        <v>4.8999999999999998E-3</v>
      </c>
    </row>
    <row r="116" spans="1:3" x14ac:dyDescent="0.3">
      <c r="A116" s="3" t="s">
        <v>700</v>
      </c>
      <c r="B116" s="10">
        <v>7.7200000000000005E-2</v>
      </c>
      <c r="C116" s="8">
        <v>1.4800000000000001E-2</v>
      </c>
    </row>
    <row r="117" spans="1:3" x14ac:dyDescent="0.3">
      <c r="A117" s="4" t="s">
        <v>701</v>
      </c>
      <c r="B117" s="10">
        <v>7.7200000000000005E-2</v>
      </c>
      <c r="C117" s="8">
        <v>1.4800000000000001E-2</v>
      </c>
    </row>
    <row r="118" spans="1:3" x14ac:dyDescent="0.3">
      <c r="A118" s="3" t="s">
        <v>1142</v>
      </c>
      <c r="B118" s="10">
        <v>8.3633333333333337E-2</v>
      </c>
      <c r="C118" s="8">
        <v>3.1099999999999999E-2</v>
      </c>
    </row>
    <row r="119" spans="1:3" x14ac:dyDescent="0.3">
      <c r="A119" s="4" t="s">
        <v>1143</v>
      </c>
      <c r="B119" s="10">
        <v>8.3633333333333337E-2</v>
      </c>
      <c r="C119" s="8">
        <v>3.1099999999999999E-2</v>
      </c>
    </row>
    <row r="120" spans="1:3" x14ac:dyDescent="0.3">
      <c r="A120" s="3" t="s">
        <v>1219</v>
      </c>
      <c r="B120" s="10">
        <v>8.3633333333333337E-2</v>
      </c>
      <c r="C120" s="8">
        <v>6.6E-3</v>
      </c>
    </row>
    <row r="121" spans="1:3" x14ac:dyDescent="0.3">
      <c r="A121" s="4" t="s">
        <v>1220</v>
      </c>
      <c r="B121" s="10">
        <v>8.3633333333333337E-2</v>
      </c>
      <c r="C121" s="8">
        <v>6.6E-3</v>
      </c>
    </row>
    <row r="122" spans="1:3" x14ac:dyDescent="0.3">
      <c r="A122" s="3" t="s">
        <v>288</v>
      </c>
      <c r="B122" s="10">
        <v>8.3633333333333337E-2</v>
      </c>
      <c r="C122" s="8">
        <v>2.88</v>
      </c>
    </row>
    <row r="123" spans="1:3" x14ac:dyDescent="0.3">
      <c r="A123" s="4" t="s">
        <v>288</v>
      </c>
      <c r="B123" s="10">
        <v>8.3633333333333337E-2</v>
      </c>
      <c r="C123" s="8">
        <v>2.88</v>
      </c>
    </row>
    <row r="124" spans="1:3" x14ac:dyDescent="0.3">
      <c r="A124" s="3" t="s">
        <v>578</v>
      </c>
      <c r="B124" s="10">
        <v>8.3633333333333337E-2</v>
      </c>
      <c r="C124" s="8">
        <v>0.85289999999999999</v>
      </c>
    </row>
    <row r="125" spans="1:3" x14ac:dyDescent="0.3">
      <c r="A125" s="4" t="s">
        <v>579</v>
      </c>
      <c r="B125" s="10">
        <v>8.3633333333333337E-2</v>
      </c>
      <c r="C125" s="8">
        <v>0.85289999999999999</v>
      </c>
    </row>
    <row r="126" spans="1:3" x14ac:dyDescent="0.3">
      <c r="A126" s="3" t="s">
        <v>796</v>
      </c>
      <c r="B126" s="10">
        <v>9.006666666666667E-2</v>
      </c>
      <c r="C126" s="8">
        <v>3.6299999999999999E-2</v>
      </c>
    </row>
    <row r="127" spans="1:3" x14ac:dyDescent="0.3">
      <c r="A127" s="4" t="s">
        <v>797</v>
      </c>
      <c r="B127" s="10">
        <v>9.006666666666667E-2</v>
      </c>
      <c r="C127" s="8">
        <v>3.6299999999999999E-2</v>
      </c>
    </row>
    <row r="128" spans="1:3" x14ac:dyDescent="0.3">
      <c r="A128" s="3" t="s">
        <v>688</v>
      </c>
      <c r="B128" s="10">
        <v>9.006666666666667E-2</v>
      </c>
      <c r="C128" s="8">
        <v>1.44E-2</v>
      </c>
    </row>
    <row r="129" spans="1:3" x14ac:dyDescent="0.3">
      <c r="A129" s="4" t="s">
        <v>689</v>
      </c>
      <c r="B129" s="10">
        <v>9.006666666666667E-2</v>
      </c>
      <c r="C129" s="8">
        <v>1.44E-2</v>
      </c>
    </row>
    <row r="130" spans="1:3" x14ac:dyDescent="0.3">
      <c r="A130" s="3" t="s">
        <v>384</v>
      </c>
      <c r="B130" s="10">
        <v>9.006666666666667E-2</v>
      </c>
      <c r="C130" s="8">
        <v>5.1999999999999998E-3</v>
      </c>
    </row>
    <row r="131" spans="1:3" x14ac:dyDescent="0.3">
      <c r="A131" s="4" t="s">
        <v>385</v>
      </c>
      <c r="B131" s="10">
        <v>9.006666666666667E-2</v>
      </c>
      <c r="C131" s="8">
        <v>5.1999999999999998E-3</v>
      </c>
    </row>
    <row r="132" spans="1:3" x14ac:dyDescent="0.3">
      <c r="A132" s="3" t="s">
        <v>1213</v>
      </c>
      <c r="B132" s="10">
        <v>9.006666666666667E-2</v>
      </c>
      <c r="C132" s="8">
        <v>1.5900000000000001E-2</v>
      </c>
    </row>
    <row r="133" spans="1:3" x14ac:dyDescent="0.3">
      <c r="A133" s="4" t="s">
        <v>1214</v>
      </c>
      <c r="B133" s="10">
        <v>9.006666666666667E-2</v>
      </c>
      <c r="C133" s="8">
        <v>1.5900000000000001E-2</v>
      </c>
    </row>
    <row r="134" spans="1:3" x14ac:dyDescent="0.3">
      <c r="A134" s="3" t="s">
        <v>1136</v>
      </c>
      <c r="B134" s="10">
        <v>9.006666666666667E-2</v>
      </c>
      <c r="C134" s="8">
        <v>5.5399999999999998E-2</v>
      </c>
    </row>
    <row r="135" spans="1:3" x14ac:dyDescent="0.3">
      <c r="A135" s="4" t="s">
        <v>1137</v>
      </c>
      <c r="B135" s="10">
        <v>9.006666666666667E-2</v>
      </c>
      <c r="C135" s="8">
        <v>5.5399999999999998E-2</v>
      </c>
    </row>
    <row r="136" spans="1:3" x14ac:dyDescent="0.3">
      <c r="A136" s="3" t="s">
        <v>498</v>
      </c>
      <c r="B136" s="10">
        <v>9.006666666666667E-2</v>
      </c>
      <c r="C136" s="8">
        <v>6.1000000000000004E-3</v>
      </c>
    </row>
    <row r="137" spans="1:3" x14ac:dyDescent="0.3">
      <c r="A137" s="4" t="s">
        <v>499</v>
      </c>
      <c r="B137" s="10">
        <v>9.006666666666667E-2</v>
      </c>
      <c r="C137" s="8">
        <v>6.1000000000000004E-3</v>
      </c>
    </row>
    <row r="138" spans="1:3" x14ac:dyDescent="0.3">
      <c r="A138" s="3" t="s">
        <v>107</v>
      </c>
      <c r="B138" s="10">
        <v>9.6499999999999989E-2</v>
      </c>
      <c r="C138" s="8">
        <v>0.39090000000000003</v>
      </c>
    </row>
    <row r="139" spans="1:3" x14ac:dyDescent="0.3">
      <c r="A139" s="4" t="s">
        <v>108</v>
      </c>
      <c r="B139" s="10">
        <v>9.6499999999999989E-2</v>
      </c>
      <c r="C139" s="8">
        <v>0.39090000000000003</v>
      </c>
    </row>
    <row r="140" spans="1:3" x14ac:dyDescent="0.3">
      <c r="A140" s="3" t="s">
        <v>842</v>
      </c>
      <c r="B140" s="10">
        <v>9.6499999999999989E-2</v>
      </c>
      <c r="C140" s="8">
        <v>3.4700000000000002E-2</v>
      </c>
    </row>
    <row r="141" spans="1:3" x14ac:dyDescent="0.3">
      <c r="A141" s="4" t="s">
        <v>843</v>
      </c>
      <c r="B141" s="10">
        <v>9.6499999999999989E-2</v>
      </c>
      <c r="C141" s="8">
        <v>3.4700000000000002E-2</v>
      </c>
    </row>
    <row r="142" spans="1:3" x14ac:dyDescent="0.3">
      <c r="A142" s="3" t="s">
        <v>202</v>
      </c>
      <c r="B142" s="10">
        <v>0.10293333333333334</v>
      </c>
      <c r="C142" s="8">
        <v>1.94</v>
      </c>
    </row>
    <row r="143" spans="1:3" x14ac:dyDescent="0.3">
      <c r="A143" s="4" t="s">
        <v>203</v>
      </c>
      <c r="B143" s="10">
        <v>0.10293333333333334</v>
      </c>
      <c r="C143" s="8">
        <v>1.94</v>
      </c>
    </row>
    <row r="144" spans="1:3" x14ac:dyDescent="0.3">
      <c r="A144" s="3" t="s">
        <v>1035</v>
      </c>
      <c r="B144" s="10">
        <v>0.10293333333333334</v>
      </c>
      <c r="C144" s="8">
        <v>5.3999999999999999E-2</v>
      </c>
    </row>
    <row r="145" spans="1:3" x14ac:dyDescent="0.3">
      <c r="A145" s="4" t="s">
        <v>1036</v>
      </c>
      <c r="B145" s="10">
        <v>0.10293333333333334</v>
      </c>
      <c r="C145" s="8">
        <v>5.3999999999999999E-2</v>
      </c>
    </row>
    <row r="146" spans="1:3" x14ac:dyDescent="0.3">
      <c r="A146" s="3" t="s">
        <v>410</v>
      </c>
      <c r="B146" s="10">
        <v>0.10293333333333334</v>
      </c>
      <c r="C146" s="8">
        <v>2.3599999999999999E-2</v>
      </c>
    </row>
    <row r="147" spans="1:3" x14ac:dyDescent="0.3">
      <c r="A147" s="4" t="s">
        <v>411</v>
      </c>
      <c r="B147" s="10">
        <v>0.10293333333333334</v>
      </c>
      <c r="C147" s="8">
        <v>2.3599999999999999E-2</v>
      </c>
    </row>
    <row r="148" spans="1:3" x14ac:dyDescent="0.3">
      <c r="A148" s="3" t="s">
        <v>1074</v>
      </c>
      <c r="B148" s="10">
        <v>0.10936666666666665</v>
      </c>
      <c r="C148" s="8">
        <v>5.0000000000000001E-3</v>
      </c>
    </row>
    <row r="149" spans="1:3" x14ac:dyDescent="0.3">
      <c r="A149" s="4" t="s">
        <v>1075</v>
      </c>
      <c r="B149" s="10">
        <v>0.10936666666666665</v>
      </c>
      <c r="C149" s="8">
        <v>5.0000000000000001E-3</v>
      </c>
    </row>
    <row r="150" spans="1:3" x14ac:dyDescent="0.3">
      <c r="A150" s="3" t="s">
        <v>878</v>
      </c>
      <c r="B150" s="10">
        <v>0.1158</v>
      </c>
      <c r="C150" s="8">
        <v>0.13519999999999999</v>
      </c>
    </row>
    <row r="151" spans="1:3" x14ac:dyDescent="0.3">
      <c r="A151" s="4" t="s">
        <v>878</v>
      </c>
      <c r="B151" s="10">
        <v>0.1158</v>
      </c>
      <c r="C151" s="8">
        <v>0.13519999999999999</v>
      </c>
    </row>
    <row r="152" spans="1:3" x14ac:dyDescent="0.3">
      <c r="A152" s="3" t="s">
        <v>510</v>
      </c>
      <c r="B152" s="10">
        <v>0.12223333333333335</v>
      </c>
      <c r="C152" s="8">
        <v>2.2800000000000001E-2</v>
      </c>
    </row>
    <row r="153" spans="1:3" x14ac:dyDescent="0.3">
      <c r="A153" s="4" t="s">
        <v>510</v>
      </c>
      <c r="B153" s="10">
        <v>0.12223333333333335</v>
      </c>
      <c r="C153" s="8">
        <v>2.2800000000000001E-2</v>
      </c>
    </row>
    <row r="154" spans="1:3" x14ac:dyDescent="0.3">
      <c r="A154" s="3" t="s">
        <v>262</v>
      </c>
      <c r="B154" s="10">
        <v>0.12223333333333335</v>
      </c>
      <c r="C154" s="8">
        <v>4.24</v>
      </c>
    </row>
    <row r="155" spans="1:3" x14ac:dyDescent="0.3">
      <c r="A155" s="4" t="s">
        <v>263</v>
      </c>
      <c r="B155" s="10">
        <v>0.12223333333333335</v>
      </c>
      <c r="C155" s="8">
        <v>4.24</v>
      </c>
    </row>
    <row r="156" spans="1:3" x14ac:dyDescent="0.3">
      <c r="A156" s="3" t="s">
        <v>300</v>
      </c>
      <c r="B156" s="10">
        <v>0.12223333333333335</v>
      </c>
      <c r="C156" s="8">
        <v>6.4000000000000001E-2</v>
      </c>
    </row>
    <row r="157" spans="1:3" x14ac:dyDescent="0.3">
      <c r="A157" s="4" t="s">
        <v>301</v>
      </c>
      <c r="B157" s="10">
        <v>0.12223333333333335</v>
      </c>
      <c r="C157" s="8">
        <v>6.4000000000000001E-2</v>
      </c>
    </row>
    <row r="158" spans="1:3" x14ac:dyDescent="0.3">
      <c r="A158" s="3" t="s">
        <v>371</v>
      </c>
      <c r="B158" s="10">
        <v>0.1351</v>
      </c>
      <c r="C158" s="8">
        <v>0.18160000000000001</v>
      </c>
    </row>
    <row r="159" spans="1:3" x14ac:dyDescent="0.3">
      <c r="A159" s="4" t="s">
        <v>372</v>
      </c>
      <c r="B159" s="10">
        <v>0.1351</v>
      </c>
      <c r="C159" s="8">
        <v>0.18160000000000001</v>
      </c>
    </row>
    <row r="160" spans="1:3" x14ac:dyDescent="0.3">
      <c r="A160" s="3" t="s">
        <v>378</v>
      </c>
      <c r="B160" s="10">
        <v>0.1351</v>
      </c>
      <c r="C160" s="8">
        <v>10.119999999999999</v>
      </c>
    </row>
    <row r="161" spans="1:3" x14ac:dyDescent="0.3">
      <c r="A161" s="4" t="s">
        <v>379</v>
      </c>
      <c r="B161" s="10">
        <v>0.1351</v>
      </c>
      <c r="C161" s="8">
        <v>10.119999999999999</v>
      </c>
    </row>
    <row r="162" spans="1:3" x14ac:dyDescent="0.3">
      <c r="A162" s="3" t="s">
        <v>161</v>
      </c>
      <c r="B162" s="10">
        <v>0.14153333333333332</v>
      </c>
      <c r="C162" s="8">
        <v>2.4E-2</v>
      </c>
    </row>
    <row r="163" spans="1:3" x14ac:dyDescent="0.3">
      <c r="A163" s="4" t="s">
        <v>162</v>
      </c>
      <c r="B163" s="10">
        <v>0.14153333333333332</v>
      </c>
      <c r="C163" s="8">
        <v>2.4E-2</v>
      </c>
    </row>
    <row r="164" spans="1:3" x14ac:dyDescent="0.3">
      <c r="A164" s="3" t="s">
        <v>981</v>
      </c>
      <c r="B164" s="10">
        <v>0.14153333333333332</v>
      </c>
      <c r="C164" s="8">
        <v>3.8999999999999998E-3</v>
      </c>
    </row>
    <row r="165" spans="1:3" x14ac:dyDescent="0.3">
      <c r="A165" s="4" t="s">
        <v>982</v>
      </c>
      <c r="B165" s="10">
        <v>0.14153333333333332</v>
      </c>
      <c r="C165" s="8">
        <v>3.8999999999999998E-3</v>
      </c>
    </row>
    <row r="166" spans="1:3" x14ac:dyDescent="0.3">
      <c r="A166" s="3" t="s">
        <v>1148</v>
      </c>
      <c r="B166" s="10">
        <v>0.14796666666666666</v>
      </c>
      <c r="C166" s="8">
        <v>5.7000000000000002E-3</v>
      </c>
    </row>
    <row r="167" spans="1:3" x14ac:dyDescent="0.3">
      <c r="A167" s="4" t="s">
        <v>1149</v>
      </c>
      <c r="B167" s="10">
        <v>0.14796666666666666</v>
      </c>
      <c r="C167" s="8">
        <v>5.7000000000000002E-3</v>
      </c>
    </row>
    <row r="168" spans="1:3" x14ac:dyDescent="0.3">
      <c r="A168" s="3" t="s">
        <v>188</v>
      </c>
      <c r="B168" s="10">
        <v>0.14796666666666666</v>
      </c>
      <c r="C168" s="8">
        <v>7.6300000000000007E-2</v>
      </c>
    </row>
    <row r="169" spans="1:3" x14ac:dyDescent="0.3">
      <c r="A169" s="4" t="s">
        <v>189</v>
      </c>
      <c r="B169" s="10">
        <v>0.14796666666666666</v>
      </c>
      <c r="C169" s="8">
        <v>7.6300000000000007E-2</v>
      </c>
    </row>
    <row r="170" spans="1:3" x14ac:dyDescent="0.3">
      <c r="A170" s="3" t="s">
        <v>365</v>
      </c>
      <c r="B170" s="10">
        <v>0.15440000000000001</v>
      </c>
      <c r="C170" s="8">
        <v>11.79</v>
      </c>
    </row>
    <row r="171" spans="1:3" x14ac:dyDescent="0.3">
      <c r="A171" s="4" t="s">
        <v>366</v>
      </c>
      <c r="B171" s="10">
        <v>0.15440000000000001</v>
      </c>
      <c r="C171" s="8">
        <v>11.79</v>
      </c>
    </row>
    <row r="172" spans="1:3" x14ac:dyDescent="0.3">
      <c r="A172" s="3" t="s">
        <v>34</v>
      </c>
      <c r="B172" s="10">
        <v>0.15440000000000001</v>
      </c>
      <c r="C172" s="8">
        <v>864.91</v>
      </c>
    </row>
    <row r="173" spans="1:3" x14ac:dyDescent="0.3">
      <c r="A173" s="4" t="s">
        <v>34</v>
      </c>
      <c r="B173" s="10">
        <v>0.15440000000000001</v>
      </c>
      <c r="C173" s="8">
        <v>864.91</v>
      </c>
    </row>
    <row r="174" spans="1:3" x14ac:dyDescent="0.3">
      <c r="A174" s="3" t="s">
        <v>423</v>
      </c>
      <c r="B174" s="10">
        <v>0.15440000000000001</v>
      </c>
      <c r="C174" s="8">
        <v>0.2525</v>
      </c>
    </row>
    <row r="175" spans="1:3" x14ac:dyDescent="0.3">
      <c r="A175" s="4" t="s">
        <v>424</v>
      </c>
      <c r="B175" s="10">
        <v>0.15440000000000001</v>
      </c>
      <c r="C175" s="8">
        <v>0.2525</v>
      </c>
    </row>
    <row r="176" spans="1:3" x14ac:dyDescent="0.3">
      <c r="A176" s="3" t="s">
        <v>802</v>
      </c>
      <c r="B176" s="10">
        <v>0.15440000000000001</v>
      </c>
      <c r="C176" s="8">
        <v>4.5600000000000002E-2</v>
      </c>
    </row>
    <row r="177" spans="1:3" x14ac:dyDescent="0.3">
      <c r="A177" s="4" t="s">
        <v>803</v>
      </c>
      <c r="B177" s="10">
        <v>0.15440000000000001</v>
      </c>
      <c r="C177" s="8">
        <v>4.5600000000000002E-2</v>
      </c>
    </row>
    <row r="178" spans="1:3" x14ac:dyDescent="0.3">
      <c r="A178" s="3" t="s">
        <v>478</v>
      </c>
      <c r="B178" s="10">
        <v>0.16083333333333333</v>
      </c>
      <c r="C178" s="8">
        <v>3.0099999999999998E-2</v>
      </c>
    </row>
    <row r="179" spans="1:3" x14ac:dyDescent="0.3">
      <c r="A179" s="4" t="s">
        <v>479</v>
      </c>
      <c r="B179" s="10">
        <v>0.16083333333333333</v>
      </c>
      <c r="C179" s="8">
        <v>3.0099999999999998E-2</v>
      </c>
    </row>
    <row r="180" spans="1:3" x14ac:dyDescent="0.3">
      <c r="A180" s="3" t="s">
        <v>1243</v>
      </c>
      <c r="B180" s="10">
        <v>0.16726666666666667</v>
      </c>
      <c r="C180" s="8">
        <v>1.9E-3</v>
      </c>
    </row>
    <row r="181" spans="1:3" x14ac:dyDescent="0.3">
      <c r="A181" s="4" t="s">
        <v>1243</v>
      </c>
      <c r="B181" s="10">
        <v>0.16726666666666667</v>
      </c>
      <c r="C181" s="8">
        <v>1.9E-3</v>
      </c>
    </row>
    <row r="182" spans="1:3" x14ac:dyDescent="0.3">
      <c r="A182" s="3" t="s">
        <v>1015</v>
      </c>
      <c r="B182" s="10">
        <v>0.17369999999999999</v>
      </c>
      <c r="C182" s="8">
        <v>0.16200000000000001</v>
      </c>
    </row>
    <row r="183" spans="1:3" x14ac:dyDescent="0.3">
      <c r="A183" s="4" t="s">
        <v>1016</v>
      </c>
      <c r="B183" s="10">
        <v>0.17369999999999999</v>
      </c>
      <c r="C183" s="8">
        <v>0.16200000000000001</v>
      </c>
    </row>
    <row r="184" spans="1:3" x14ac:dyDescent="0.3">
      <c r="A184" s="3" t="s">
        <v>706</v>
      </c>
      <c r="B184" s="10">
        <v>0.18013333333333334</v>
      </c>
      <c r="C184" s="8">
        <v>4.2999999999999997E-2</v>
      </c>
    </row>
    <row r="185" spans="1:3" x14ac:dyDescent="0.3">
      <c r="A185" s="4" t="s">
        <v>707</v>
      </c>
      <c r="B185" s="10">
        <v>0.18013333333333334</v>
      </c>
      <c r="C185" s="8">
        <v>4.2999999999999997E-2</v>
      </c>
    </row>
    <row r="186" spans="1:3" x14ac:dyDescent="0.3">
      <c r="A186" s="3" t="s">
        <v>1054</v>
      </c>
      <c r="B186" s="10">
        <v>0.18656666666666666</v>
      </c>
      <c r="C186" s="8">
        <v>3.6499999999999998E-2</v>
      </c>
    </row>
    <row r="187" spans="1:3" x14ac:dyDescent="0.3">
      <c r="A187" s="4" t="s">
        <v>1055</v>
      </c>
      <c r="B187" s="10">
        <v>0.18656666666666666</v>
      </c>
      <c r="C187" s="8">
        <v>3.6499999999999998E-2</v>
      </c>
    </row>
    <row r="188" spans="1:3" x14ac:dyDescent="0.3">
      <c r="A188" s="3" t="s">
        <v>114</v>
      </c>
      <c r="B188" s="10">
        <v>0.19299999999999998</v>
      </c>
      <c r="C188" s="8">
        <v>7.42</v>
      </c>
    </row>
    <row r="189" spans="1:3" x14ac:dyDescent="0.3">
      <c r="A189" s="4" t="s">
        <v>115</v>
      </c>
      <c r="B189" s="10">
        <v>0.19299999999999998</v>
      </c>
      <c r="C189" s="8">
        <v>7.42</v>
      </c>
    </row>
    <row r="190" spans="1:3" x14ac:dyDescent="0.3">
      <c r="A190" s="3" t="s">
        <v>88</v>
      </c>
      <c r="B190" s="10">
        <v>0.19299999999999998</v>
      </c>
      <c r="C190" s="8">
        <v>9.1999999999999998E-3</v>
      </c>
    </row>
    <row r="191" spans="1:3" x14ac:dyDescent="0.3">
      <c r="A191" s="4" t="s">
        <v>88</v>
      </c>
      <c r="B191" s="10">
        <v>0.19299999999999998</v>
      </c>
      <c r="C191" s="8">
        <v>9.1999999999999998E-3</v>
      </c>
    </row>
    <row r="192" spans="1:3" x14ac:dyDescent="0.3">
      <c r="A192" s="3" t="s">
        <v>453</v>
      </c>
      <c r="B192" s="10">
        <v>0.19943333333333332</v>
      </c>
      <c r="C192" s="8">
        <v>0.249</v>
      </c>
    </row>
    <row r="193" spans="1:3" x14ac:dyDescent="0.3">
      <c r="A193" s="4" t="s">
        <v>454</v>
      </c>
      <c r="B193" s="10">
        <v>0.19943333333333332</v>
      </c>
      <c r="C193" s="8">
        <v>0.249</v>
      </c>
    </row>
    <row r="194" spans="1:3" x14ac:dyDescent="0.3">
      <c r="A194" s="3" t="s">
        <v>391</v>
      </c>
      <c r="B194" s="10">
        <v>0.19943333333333332</v>
      </c>
      <c r="C194" s="8">
        <v>2.17</v>
      </c>
    </row>
    <row r="195" spans="1:3" x14ac:dyDescent="0.3">
      <c r="A195" s="4" t="s">
        <v>392</v>
      </c>
      <c r="B195" s="10">
        <v>0.19943333333333332</v>
      </c>
      <c r="C195" s="8">
        <v>2.17</v>
      </c>
    </row>
    <row r="196" spans="1:3" x14ac:dyDescent="0.3">
      <c r="A196" s="3" t="s">
        <v>1081</v>
      </c>
      <c r="B196" s="10">
        <v>0.20586666666666667</v>
      </c>
      <c r="C196" s="8">
        <v>3.5000000000000001E-3</v>
      </c>
    </row>
    <row r="197" spans="1:3" x14ac:dyDescent="0.3">
      <c r="A197" s="4" t="s">
        <v>1082</v>
      </c>
      <c r="B197" s="10">
        <v>0.20586666666666667</v>
      </c>
      <c r="C197" s="8">
        <v>3.5000000000000001E-3</v>
      </c>
    </row>
    <row r="198" spans="1:3" x14ac:dyDescent="0.3">
      <c r="A198" s="3" t="s">
        <v>921</v>
      </c>
      <c r="B198" s="10">
        <v>0.20586666666666667</v>
      </c>
      <c r="C198" s="8">
        <v>6.9500000000000006E-2</v>
      </c>
    </row>
    <row r="199" spans="1:3" x14ac:dyDescent="0.3">
      <c r="A199" s="4" t="s">
        <v>921</v>
      </c>
      <c r="B199" s="10">
        <v>0.20586666666666667</v>
      </c>
      <c r="C199" s="8">
        <v>6.9500000000000006E-2</v>
      </c>
    </row>
    <row r="200" spans="1:3" x14ac:dyDescent="0.3">
      <c r="A200" s="3" t="s">
        <v>67</v>
      </c>
      <c r="B200" s="10">
        <v>0.20586666666666667</v>
      </c>
      <c r="C200" s="8">
        <v>0.86929999999999996</v>
      </c>
    </row>
    <row r="201" spans="1:3" x14ac:dyDescent="0.3">
      <c r="A201" s="4" t="s">
        <v>68</v>
      </c>
      <c r="B201" s="10">
        <v>0.20586666666666667</v>
      </c>
      <c r="C201" s="8">
        <v>0.86929999999999996</v>
      </c>
    </row>
    <row r="202" spans="1:3" x14ac:dyDescent="0.3">
      <c r="A202" s="3" t="s">
        <v>1110</v>
      </c>
      <c r="B202" s="10">
        <v>0.21230000000000002</v>
      </c>
      <c r="C202" s="8">
        <v>2.7000000000000001E-3</v>
      </c>
    </row>
    <row r="203" spans="1:3" x14ac:dyDescent="0.3">
      <c r="A203" s="4" t="s">
        <v>1111</v>
      </c>
      <c r="B203" s="10">
        <v>0.21230000000000002</v>
      </c>
      <c r="C203" s="8">
        <v>2.7000000000000001E-3</v>
      </c>
    </row>
    <row r="204" spans="1:3" x14ac:dyDescent="0.3">
      <c r="A204" s="3" t="s">
        <v>127</v>
      </c>
      <c r="B204" s="10">
        <v>0.21230000000000002</v>
      </c>
      <c r="C204" s="8">
        <v>0.40489999999999998</v>
      </c>
    </row>
    <row r="205" spans="1:3" x14ac:dyDescent="0.3">
      <c r="A205" s="4" t="s">
        <v>128</v>
      </c>
      <c r="B205" s="10">
        <v>0.21230000000000002</v>
      </c>
      <c r="C205" s="8">
        <v>0.40489999999999998</v>
      </c>
    </row>
    <row r="206" spans="1:3" x14ac:dyDescent="0.3">
      <c r="A206" s="3" t="s">
        <v>1154</v>
      </c>
      <c r="B206" s="10">
        <v>0.21230000000000002</v>
      </c>
      <c r="C206" s="8">
        <v>5.2200000000000003E-2</v>
      </c>
    </row>
    <row r="207" spans="1:3" x14ac:dyDescent="0.3">
      <c r="A207" s="4" t="s">
        <v>1155</v>
      </c>
      <c r="B207" s="10">
        <v>0.21230000000000002</v>
      </c>
      <c r="C207" s="8">
        <v>5.2200000000000003E-2</v>
      </c>
    </row>
    <row r="208" spans="1:3" x14ac:dyDescent="0.3">
      <c r="A208" s="3" t="s">
        <v>783</v>
      </c>
      <c r="B208" s="10">
        <v>0.23803333333333335</v>
      </c>
      <c r="C208" s="8">
        <v>0.89400000000000002</v>
      </c>
    </row>
    <row r="209" spans="1:3" x14ac:dyDescent="0.3">
      <c r="A209" s="4" t="s">
        <v>784</v>
      </c>
      <c r="B209" s="10">
        <v>0.23803333333333335</v>
      </c>
      <c r="C209" s="8">
        <v>0.89400000000000002</v>
      </c>
    </row>
    <row r="210" spans="1:3" x14ac:dyDescent="0.3">
      <c r="A210" s="3" t="s">
        <v>541</v>
      </c>
      <c r="B210" s="10">
        <v>0.23803333333333335</v>
      </c>
      <c r="C210" s="8">
        <v>7.6200000000000004E-2</v>
      </c>
    </row>
    <row r="211" spans="1:3" x14ac:dyDescent="0.3">
      <c r="A211" s="4" t="s">
        <v>542</v>
      </c>
      <c r="B211" s="10">
        <v>0.23803333333333335</v>
      </c>
      <c r="C211" s="8">
        <v>7.6200000000000004E-2</v>
      </c>
    </row>
    <row r="212" spans="1:3" x14ac:dyDescent="0.3">
      <c r="A212" s="3" t="s">
        <v>319</v>
      </c>
      <c r="B212" s="10">
        <v>0.24446666666666669</v>
      </c>
      <c r="C212" s="8">
        <v>8.5400000000000004E-2</v>
      </c>
    </row>
    <row r="213" spans="1:3" x14ac:dyDescent="0.3">
      <c r="A213" s="4" t="s">
        <v>320</v>
      </c>
      <c r="B213" s="10">
        <v>0.24446666666666669</v>
      </c>
      <c r="C213" s="8">
        <v>8.5400000000000004E-2</v>
      </c>
    </row>
    <row r="214" spans="1:3" x14ac:dyDescent="0.3">
      <c r="A214" s="3" t="s">
        <v>872</v>
      </c>
      <c r="B214" s="10">
        <v>0.24446666666666669</v>
      </c>
      <c r="C214" s="8">
        <v>1E-3</v>
      </c>
    </row>
    <row r="215" spans="1:3" x14ac:dyDescent="0.3">
      <c r="A215" s="4" t="s">
        <v>873</v>
      </c>
      <c r="B215" s="10">
        <v>0.24446666666666669</v>
      </c>
      <c r="C215" s="8">
        <v>1E-3</v>
      </c>
    </row>
    <row r="216" spans="1:3" x14ac:dyDescent="0.3">
      <c r="A216" s="3" t="s">
        <v>759</v>
      </c>
      <c r="B216" s="10">
        <v>0.24446666666666669</v>
      </c>
      <c r="C216" s="8">
        <v>0.21590000000000001</v>
      </c>
    </row>
    <row r="217" spans="1:3" x14ac:dyDescent="0.3">
      <c r="A217" s="4" t="s">
        <v>760</v>
      </c>
      <c r="B217" s="10">
        <v>0.24446666666666669</v>
      </c>
      <c r="C217" s="8">
        <v>0.21590000000000001</v>
      </c>
    </row>
    <row r="218" spans="1:3" x14ac:dyDescent="0.3">
      <c r="A218" s="3" t="s">
        <v>134</v>
      </c>
      <c r="B218" s="10">
        <v>0.25089999999999996</v>
      </c>
      <c r="C218" s="8">
        <v>0.28820000000000001</v>
      </c>
    </row>
    <row r="219" spans="1:3" x14ac:dyDescent="0.3">
      <c r="A219" s="4" t="s">
        <v>135</v>
      </c>
      <c r="B219" s="10">
        <v>0.25089999999999996</v>
      </c>
      <c r="C219" s="8">
        <v>0.28820000000000001</v>
      </c>
    </row>
    <row r="220" spans="1:3" x14ac:dyDescent="0.3">
      <c r="A220" s="3" t="s">
        <v>446</v>
      </c>
      <c r="B220" s="10">
        <v>0.25733333333333336</v>
      </c>
      <c r="C220" s="8">
        <v>1.01</v>
      </c>
    </row>
    <row r="221" spans="1:3" x14ac:dyDescent="0.3">
      <c r="A221" s="4" t="s">
        <v>447</v>
      </c>
      <c r="B221" s="10">
        <v>0.25733333333333336</v>
      </c>
      <c r="C221" s="8">
        <v>1.01</v>
      </c>
    </row>
    <row r="222" spans="1:3" x14ac:dyDescent="0.3">
      <c r="A222" s="3" t="s">
        <v>681</v>
      </c>
      <c r="B222" s="10">
        <v>0.2637666666666667</v>
      </c>
      <c r="C222" s="8">
        <v>7.1599999999999997E-2</v>
      </c>
    </row>
    <row r="223" spans="1:3" x14ac:dyDescent="0.3">
      <c r="A223" s="4" t="s">
        <v>682</v>
      </c>
      <c r="B223" s="10">
        <v>0.2637666666666667</v>
      </c>
      <c r="C223" s="8">
        <v>7.1599999999999997E-2</v>
      </c>
    </row>
    <row r="224" spans="1:3" x14ac:dyDescent="0.3">
      <c r="A224" s="3" t="s">
        <v>815</v>
      </c>
      <c r="B224" s="10">
        <v>0.2637666666666667</v>
      </c>
      <c r="C224" s="8">
        <v>3.95E-2</v>
      </c>
    </row>
    <row r="225" spans="1:3" x14ac:dyDescent="0.3">
      <c r="A225" s="4" t="s">
        <v>816</v>
      </c>
      <c r="B225" s="10">
        <v>0.2637666666666667</v>
      </c>
      <c r="C225" s="8">
        <v>3.95E-2</v>
      </c>
    </row>
    <row r="226" spans="1:3" x14ac:dyDescent="0.3">
      <c r="A226" s="3" t="s">
        <v>1091</v>
      </c>
      <c r="B226" s="10">
        <v>0.2637666666666667</v>
      </c>
      <c r="C226" s="8">
        <v>5.7000000000000002E-3</v>
      </c>
    </row>
    <row r="227" spans="1:3" x14ac:dyDescent="0.3">
      <c r="A227" s="4" t="s">
        <v>1092</v>
      </c>
      <c r="B227" s="10">
        <v>0.2637666666666667</v>
      </c>
      <c r="C227" s="8">
        <v>5.7000000000000002E-3</v>
      </c>
    </row>
    <row r="228" spans="1:3" x14ac:dyDescent="0.3">
      <c r="A228" s="3" t="s">
        <v>1165</v>
      </c>
      <c r="B228" s="10">
        <v>0.2637666666666667</v>
      </c>
      <c r="C228" s="8">
        <v>0.30230000000000001</v>
      </c>
    </row>
    <row r="229" spans="1:3" x14ac:dyDescent="0.3">
      <c r="A229" s="4" t="s">
        <v>1166</v>
      </c>
      <c r="B229" s="10">
        <v>0.2637666666666667</v>
      </c>
      <c r="C229" s="8">
        <v>0.30230000000000001</v>
      </c>
    </row>
    <row r="230" spans="1:3" x14ac:dyDescent="0.3">
      <c r="A230" s="3" t="s">
        <v>821</v>
      </c>
      <c r="B230" s="10">
        <v>0.27663333333333334</v>
      </c>
      <c r="C230" s="8">
        <v>9.8699999999999996E-2</v>
      </c>
    </row>
    <row r="231" spans="1:3" x14ac:dyDescent="0.3">
      <c r="A231" s="4" t="s">
        <v>822</v>
      </c>
      <c r="B231" s="10">
        <v>0.27663333333333334</v>
      </c>
      <c r="C231" s="8">
        <v>9.8699999999999996E-2</v>
      </c>
    </row>
    <row r="232" spans="1:3" x14ac:dyDescent="0.3">
      <c r="A232" s="3" t="s">
        <v>14</v>
      </c>
      <c r="B232" s="10">
        <v>0.27663333333333334</v>
      </c>
      <c r="C232" s="8">
        <v>4631.6899999999996</v>
      </c>
    </row>
    <row r="233" spans="1:3" x14ac:dyDescent="0.3">
      <c r="A233" s="4" t="s">
        <v>15</v>
      </c>
      <c r="B233" s="10">
        <v>0.27663333333333334</v>
      </c>
      <c r="C233" s="8">
        <v>4631.6899999999996</v>
      </c>
    </row>
    <row r="234" spans="1:3" x14ac:dyDescent="0.3">
      <c r="A234" s="3" t="s">
        <v>256</v>
      </c>
      <c r="B234" s="10">
        <v>0.27663333333333334</v>
      </c>
      <c r="C234" s="8">
        <v>6.8099999999999994E-2</v>
      </c>
    </row>
    <row r="235" spans="1:3" x14ac:dyDescent="0.3">
      <c r="A235" s="4" t="s">
        <v>257</v>
      </c>
      <c r="B235" s="10">
        <v>0.27663333333333334</v>
      </c>
      <c r="C235" s="8">
        <v>6.8099999999999994E-2</v>
      </c>
    </row>
    <row r="236" spans="1:3" x14ac:dyDescent="0.3">
      <c r="A236" s="3" t="s">
        <v>827</v>
      </c>
      <c r="B236" s="10">
        <v>0.27663333333333334</v>
      </c>
      <c r="C236" s="8">
        <v>0.29120000000000001</v>
      </c>
    </row>
    <row r="237" spans="1:3" x14ac:dyDescent="0.3">
      <c r="A237" s="4" t="s">
        <v>828</v>
      </c>
      <c r="B237" s="10">
        <v>0.27663333333333334</v>
      </c>
      <c r="C237" s="8">
        <v>0.29120000000000001</v>
      </c>
    </row>
    <row r="238" spans="1:3" x14ac:dyDescent="0.3">
      <c r="A238" s="3" t="s">
        <v>225</v>
      </c>
      <c r="B238" s="10">
        <v>0.27663333333333334</v>
      </c>
      <c r="C238" s="8">
        <v>0.13320000000000001</v>
      </c>
    </row>
    <row r="239" spans="1:3" x14ac:dyDescent="0.3">
      <c r="A239" s="4" t="s">
        <v>226</v>
      </c>
      <c r="B239" s="10">
        <v>0.27663333333333334</v>
      </c>
      <c r="C239" s="8">
        <v>0.13320000000000001</v>
      </c>
    </row>
    <row r="240" spans="1:3" x14ac:dyDescent="0.3">
      <c r="A240" s="3" t="s">
        <v>435</v>
      </c>
      <c r="B240" s="10">
        <v>0.28949999999999992</v>
      </c>
      <c r="C240" s="8">
        <v>0.42049999999999998</v>
      </c>
    </row>
    <row r="241" spans="1:3" x14ac:dyDescent="0.3">
      <c r="A241" s="4" t="s">
        <v>436</v>
      </c>
      <c r="B241" s="10">
        <v>0.28949999999999992</v>
      </c>
      <c r="C241" s="8">
        <v>0.42049999999999998</v>
      </c>
    </row>
    <row r="242" spans="1:3" x14ac:dyDescent="0.3">
      <c r="A242" s="3" t="s">
        <v>21</v>
      </c>
      <c r="B242" s="10">
        <v>0.28949999999999992</v>
      </c>
      <c r="C242" s="8">
        <v>3.02</v>
      </c>
    </row>
    <row r="243" spans="1:3" x14ac:dyDescent="0.3">
      <c r="A243" s="4" t="s">
        <v>21</v>
      </c>
      <c r="B243" s="10">
        <v>0.28949999999999992</v>
      </c>
      <c r="C243" s="8">
        <v>3.02</v>
      </c>
    </row>
    <row r="244" spans="1:3" x14ac:dyDescent="0.3">
      <c r="A244" s="3" t="s">
        <v>726</v>
      </c>
      <c r="B244" s="10">
        <v>0.29593333333333333</v>
      </c>
      <c r="C244" s="8">
        <v>0.32490000000000002</v>
      </c>
    </row>
    <row r="245" spans="1:3" x14ac:dyDescent="0.3">
      <c r="A245" s="4" t="s">
        <v>727</v>
      </c>
      <c r="B245" s="10">
        <v>0.29593333333333333</v>
      </c>
      <c r="C245" s="8">
        <v>0.32490000000000002</v>
      </c>
    </row>
    <row r="246" spans="1:3" x14ac:dyDescent="0.3">
      <c r="A246" s="3" t="s">
        <v>651</v>
      </c>
      <c r="B246" s="10">
        <v>0.29593333333333333</v>
      </c>
      <c r="C246" s="8">
        <v>7.0000000000000001E-3</v>
      </c>
    </row>
    <row r="247" spans="1:3" x14ac:dyDescent="0.3">
      <c r="A247" s="4" t="s">
        <v>651</v>
      </c>
      <c r="B247" s="10">
        <v>0.29593333333333333</v>
      </c>
      <c r="C247" s="8">
        <v>7.0000000000000001E-3</v>
      </c>
    </row>
    <row r="248" spans="1:3" x14ac:dyDescent="0.3">
      <c r="A248" s="3" t="s">
        <v>148</v>
      </c>
      <c r="B248" s="10">
        <v>0.30236666666666673</v>
      </c>
      <c r="C248" s="8">
        <v>5.48</v>
      </c>
    </row>
    <row r="249" spans="1:3" x14ac:dyDescent="0.3">
      <c r="A249" s="4" t="s">
        <v>149</v>
      </c>
      <c r="B249" s="10">
        <v>0.30236666666666673</v>
      </c>
      <c r="C249" s="8">
        <v>5.48</v>
      </c>
    </row>
    <row r="250" spans="1:3" x14ac:dyDescent="0.3">
      <c r="A250" s="3" t="s">
        <v>242</v>
      </c>
      <c r="B250" s="10">
        <v>0.32166666666666666</v>
      </c>
      <c r="C250" s="8">
        <v>4.9599999999999998E-2</v>
      </c>
    </row>
    <row r="251" spans="1:3" x14ac:dyDescent="0.3">
      <c r="A251" s="4" t="s">
        <v>243</v>
      </c>
      <c r="B251" s="10">
        <v>0.32166666666666666</v>
      </c>
      <c r="C251" s="8">
        <v>4.9599999999999998E-2</v>
      </c>
    </row>
    <row r="252" spans="1:3" x14ac:dyDescent="0.3">
      <c r="A252" s="3" t="s">
        <v>638</v>
      </c>
      <c r="B252" s="10">
        <v>0.32166666666666666</v>
      </c>
      <c r="C252" s="8">
        <v>16.850000000000001</v>
      </c>
    </row>
    <row r="253" spans="1:3" x14ac:dyDescent="0.3">
      <c r="A253" s="4" t="s">
        <v>639</v>
      </c>
      <c r="B253" s="10">
        <v>0.32166666666666666</v>
      </c>
      <c r="C253" s="8">
        <v>16.850000000000001</v>
      </c>
    </row>
    <row r="254" spans="1:3" x14ac:dyDescent="0.3">
      <c r="A254" s="3" t="s">
        <v>548</v>
      </c>
      <c r="B254" s="10">
        <v>0.32166666666666666</v>
      </c>
      <c r="C254" s="8">
        <v>2.1100000000000001E-2</v>
      </c>
    </row>
    <row r="255" spans="1:3" x14ac:dyDescent="0.3">
      <c r="A255" s="4" t="s">
        <v>548</v>
      </c>
      <c r="B255" s="10">
        <v>0.32166666666666666</v>
      </c>
      <c r="C255" s="8">
        <v>2.1100000000000001E-2</v>
      </c>
    </row>
    <row r="256" spans="1:3" x14ac:dyDescent="0.3">
      <c r="A256" s="3" t="s">
        <v>752</v>
      </c>
      <c r="B256" s="10">
        <v>0.3281</v>
      </c>
      <c r="C256" s="8">
        <v>7.4499999999999997E-2</v>
      </c>
    </row>
    <row r="257" spans="1:3" x14ac:dyDescent="0.3">
      <c r="A257" s="4" t="s">
        <v>753</v>
      </c>
      <c r="B257" s="10">
        <v>0.3281</v>
      </c>
      <c r="C257" s="8">
        <v>7.4499999999999997E-2</v>
      </c>
    </row>
    <row r="258" spans="1:3" x14ac:dyDescent="0.3">
      <c r="A258" s="3" t="s">
        <v>346</v>
      </c>
      <c r="B258" s="10">
        <v>0.33453333333333335</v>
      </c>
      <c r="C258" s="8">
        <v>8.0000000000000002E-3</v>
      </c>
    </row>
    <row r="259" spans="1:3" x14ac:dyDescent="0.3">
      <c r="A259" s="4" t="s">
        <v>347</v>
      </c>
      <c r="B259" s="10">
        <v>0.33453333333333335</v>
      </c>
      <c r="C259" s="8">
        <v>8.0000000000000002E-3</v>
      </c>
    </row>
    <row r="260" spans="1:3" x14ac:dyDescent="0.3">
      <c r="A260" s="3" t="s">
        <v>601</v>
      </c>
      <c r="B260" s="10">
        <v>0.33453333333333335</v>
      </c>
      <c r="C260" s="8">
        <v>8.1699999999999995E-2</v>
      </c>
    </row>
    <row r="261" spans="1:3" x14ac:dyDescent="0.3">
      <c r="A261" s="4" t="s">
        <v>602</v>
      </c>
      <c r="B261" s="10">
        <v>0.33453333333333335</v>
      </c>
      <c r="C261" s="8">
        <v>8.1699999999999995E-2</v>
      </c>
    </row>
    <row r="262" spans="1:3" x14ac:dyDescent="0.3">
      <c r="A262" s="3" t="s">
        <v>306</v>
      </c>
      <c r="B262" s="10">
        <v>0.33453333333333335</v>
      </c>
      <c r="C262" s="8">
        <v>0.45040000000000002</v>
      </c>
    </row>
    <row r="263" spans="1:3" x14ac:dyDescent="0.3">
      <c r="A263" s="4" t="s">
        <v>307</v>
      </c>
      <c r="B263" s="10">
        <v>0.33453333333333335</v>
      </c>
      <c r="C263" s="8">
        <v>0.45040000000000002</v>
      </c>
    </row>
    <row r="264" spans="1:3" x14ac:dyDescent="0.3">
      <c r="A264" s="3" t="s">
        <v>94</v>
      </c>
      <c r="B264" s="10">
        <v>0.33453333333333335</v>
      </c>
      <c r="C264" s="8">
        <v>0.1171</v>
      </c>
    </row>
    <row r="265" spans="1:3" x14ac:dyDescent="0.3">
      <c r="A265" s="4" t="s">
        <v>95</v>
      </c>
      <c r="B265" s="10">
        <v>0.33453333333333335</v>
      </c>
      <c r="C265" s="8">
        <v>0.1171</v>
      </c>
    </row>
    <row r="266" spans="1:3" x14ac:dyDescent="0.3">
      <c r="A266" s="3" t="s">
        <v>663</v>
      </c>
      <c r="B266" s="10">
        <v>0.33453333333333335</v>
      </c>
      <c r="C266" s="8">
        <v>2.0000000000000001E-4</v>
      </c>
    </row>
    <row r="267" spans="1:3" x14ac:dyDescent="0.3">
      <c r="A267" s="4" t="s">
        <v>664</v>
      </c>
      <c r="B267" s="10">
        <v>0.33453333333333335</v>
      </c>
      <c r="C267" s="8">
        <v>2.0000000000000001E-4</v>
      </c>
    </row>
    <row r="268" spans="1:3" x14ac:dyDescent="0.3">
      <c r="A268" s="3" t="s">
        <v>1022</v>
      </c>
      <c r="B268" s="10">
        <v>0.34739999999999999</v>
      </c>
      <c r="C268" s="8">
        <v>1.1999999999999999E-3</v>
      </c>
    </row>
    <row r="269" spans="1:3" x14ac:dyDescent="0.3">
      <c r="A269" s="4" t="s">
        <v>1023</v>
      </c>
      <c r="B269" s="10">
        <v>0.34739999999999999</v>
      </c>
      <c r="C269" s="8">
        <v>1.1999999999999999E-3</v>
      </c>
    </row>
    <row r="270" spans="1:3" x14ac:dyDescent="0.3">
      <c r="A270" s="3" t="s">
        <v>1225</v>
      </c>
      <c r="B270" s="10">
        <v>0.37313333333333332</v>
      </c>
      <c r="C270" s="8">
        <v>1.1000000000000001E-3</v>
      </c>
    </row>
    <row r="271" spans="1:3" x14ac:dyDescent="0.3">
      <c r="A271" s="4" t="s">
        <v>1226</v>
      </c>
      <c r="B271" s="10">
        <v>0.37313333333333332</v>
      </c>
      <c r="C271" s="8">
        <v>1.1000000000000001E-3</v>
      </c>
    </row>
    <row r="272" spans="1:3" x14ac:dyDescent="0.3">
      <c r="A272" s="3" t="s">
        <v>429</v>
      </c>
      <c r="B272" s="10">
        <v>0.37956666666666666</v>
      </c>
      <c r="C272" s="8">
        <v>1.24E-2</v>
      </c>
    </row>
    <row r="273" spans="1:3" x14ac:dyDescent="0.3">
      <c r="A273" s="4" t="s">
        <v>430</v>
      </c>
      <c r="B273" s="10">
        <v>0.37956666666666666</v>
      </c>
      <c r="C273" s="8">
        <v>1.24E-2</v>
      </c>
    </row>
    <row r="274" spans="1:3" x14ac:dyDescent="0.3">
      <c r="A274" s="3" t="s">
        <v>181</v>
      </c>
      <c r="B274" s="10">
        <v>0.37956666666666666</v>
      </c>
      <c r="C274" s="8">
        <v>0.17449999999999999</v>
      </c>
    </row>
    <row r="275" spans="1:3" x14ac:dyDescent="0.3">
      <c r="A275" s="4" t="s">
        <v>182</v>
      </c>
      <c r="B275" s="10">
        <v>0.37956666666666666</v>
      </c>
      <c r="C275" s="8">
        <v>0.17449999999999999</v>
      </c>
    </row>
    <row r="276" spans="1:3" x14ac:dyDescent="0.3">
      <c r="A276" s="3" t="s">
        <v>808</v>
      </c>
      <c r="B276" s="10">
        <v>0.39886666666666665</v>
      </c>
      <c r="C276" s="8">
        <v>8.7099999999999997E-2</v>
      </c>
    </row>
    <row r="277" spans="1:3" x14ac:dyDescent="0.3">
      <c r="A277" s="4" t="s">
        <v>809</v>
      </c>
      <c r="B277" s="10">
        <v>0.39886666666666665</v>
      </c>
      <c r="C277" s="8">
        <v>8.7099999999999997E-2</v>
      </c>
    </row>
    <row r="278" spans="1:3" x14ac:dyDescent="0.3">
      <c r="A278" s="3" t="s">
        <v>1129</v>
      </c>
      <c r="B278" s="10">
        <v>0.41173333333333334</v>
      </c>
      <c r="C278" s="8">
        <v>1.7899999999999999E-2</v>
      </c>
    </row>
    <row r="279" spans="1:3" x14ac:dyDescent="0.3">
      <c r="A279" s="4" t="s">
        <v>1130</v>
      </c>
      <c r="B279" s="10">
        <v>0.41173333333333334</v>
      </c>
      <c r="C279" s="8">
        <v>1.7899999999999999E-2</v>
      </c>
    </row>
    <row r="280" spans="1:3" x14ac:dyDescent="0.3">
      <c r="A280" s="3" t="s">
        <v>491</v>
      </c>
      <c r="B280" s="10">
        <v>0.42460000000000003</v>
      </c>
      <c r="C280" s="8">
        <v>0.1125</v>
      </c>
    </row>
    <row r="281" spans="1:3" x14ac:dyDescent="0.3">
      <c r="A281" s="4" t="s">
        <v>492</v>
      </c>
      <c r="B281" s="10">
        <v>0.42460000000000003</v>
      </c>
      <c r="C281" s="8">
        <v>0.1125</v>
      </c>
    </row>
    <row r="282" spans="1:3" x14ac:dyDescent="0.3">
      <c r="A282" s="3" t="s">
        <v>535</v>
      </c>
      <c r="B282" s="10">
        <v>0.43103333333333332</v>
      </c>
      <c r="C282" s="8">
        <v>0.62219999999999998</v>
      </c>
    </row>
    <row r="283" spans="1:3" x14ac:dyDescent="0.3">
      <c r="A283" s="4" t="s">
        <v>536</v>
      </c>
      <c r="B283" s="10">
        <v>0.43103333333333332</v>
      </c>
      <c r="C283" s="8">
        <v>0.62219999999999998</v>
      </c>
    </row>
    <row r="284" spans="1:3" x14ac:dyDescent="0.3">
      <c r="A284" s="3" t="s">
        <v>53</v>
      </c>
      <c r="B284" s="10">
        <v>0.43103333333333332</v>
      </c>
      <c r="C284" s="8">
        <v>0.22170000000000001</v>
      </c>
    </row>
    <row r="285" spans="1:3" x14ac:dyDescent="0.3">
      <c r="A285" s="4" t="s">
        <v>54</v>
      </c>
      <c r="B285" s="10">
        <v>0.43103333333333332</v>
      </c>
      <c r="C285" s="8">
        <v>0.22170000000000001</v>
      </c>
    </row>
    <row r="286" spans="1:3" x14ac:dyDescent="0.3">
      <c r="A286" s="3" t="s">
        <v>7</v>
      </c>
      <c r="B286" s="10">
        <v>0.43746666666666661</v>
      </c>
      <c r="C286" s="8">
        <v>112396.23</v>
      </c>
    </row>
    <row r="287" spans="1:3" x14ac:dyDescent="0.3">
      <c r="A287" s="4" t="s">
        <v>8</v>
      </c>
      <c r="B287" s="10">
        <v>0.43746666666666661</v>
      </c>
      <c r="C287" s="8">
        <v>112396.23</v>
      </c>
    </row>
    <row r="288" spans="1:3" x14ac:dyDescent="0.3">
      <c r="A288" s="3" t="s">
        <v>1004</v>
      </c>
      <c r="B288" s="10">
        <v>0.44390000000000002</v>
      </c>
      <c r="C288" s="8">
        <v>8.0000000000000004E-4</v>
      </c>
    </row>
    <row r="289" spans="1:3" x14ac:dyDescent="0.3">
      <c r="A289" s="4" t="s">
        <v>1005</v>
      </c>
      <c r="B289" s="10">
        <v>0.44390000000000002</v>
      </c>
      <c r="C289" s="8">
        <v>8.0000000000000004E-4</v>
      </c>
    </row>
    <row r="290" spans="1:3" x14ac:dyDescent="0.3">
      <c r="A290" s="3" t="s">
        <v>515</v>
      </c>
      <c r="B290" s="10">
        <v>0.4632</v>
      </c>
      <c r="C290" s="8">
        <v>3.6900000000000002E-2</v>
      </c>
    </row>
    <row r="291" spans="1:3" x14ac:dyDescent="0.3">
      <c r="A291" s="4" t="s">
        <v>516</v>
      </c>
      <c r="B291" s="10">
        <v>0.4632</v>
      </c>
      <c r="C291" s="8">
        <v>3.6900000000000002E-2</v>
      </c>
    </row>
    <row r="292" spans="1:3" x14ac:dyDescent="0.3">
      <c r="A292" s="3" t="s">
        <v>1104</v>
      </c>
      <c r="B292" s="10">
        <v>0.4632</v>
      </c>
      <c r="C292" s="8">
        <v>7.22E-2</v>
      </c>
    </row>
    <row r="293" spans="1:3" x14ac:dyDescent="0.3">
      <c r="A293" s="4" t="s">
        <v>1105</v>
      </c>
      <c r="B293" s="10">
        <v>0.4632</v>
      </c>
      <c r="C293" s="8">
        <v>7.22E-2</v>
      </c>
    </row>
    <row r="294" spans="1:3" x14ac:dyDescent="0.3">
      <c r="A294" s="3" t="s">
        <v>1207</v>
      </c>
      <c r="B294" s="10">
        <v>0.47606666666666669</v>
      </c>
      <c r="C294" s="8">
        <v>3.3799999999999997E-2</v>
      </c>
    </row>
    <row r="295" spans="1:3" x14ac:dyDescent="0.3">
      <c r="A295" s="4" t="s">
        <v>1208</v>
      </c>
      <c r="B295" s="10">
        <v>0.47606666666666669</v>
      </c>
      <c r="C295" s="8">
        <v>3.3799999999999997E-2</v>
      </c>
    </row>
    <row r="296" spans="1:3" x14ac:dyDescent="0.3">
      <c r="A296" s="3" t="s">
        <v>1067</v>
      </c>
      <c r="B296" s="10">
        <v>0.47606666666666669</v>
      </c>
      <c r="C296" s="8">
        <v>3.7000000000000002E-3</v>
      </c>
    </row>
    <row r="297" spans="1:3" x14ac:dyDescent="0.3">
      <c r="A297" s="4" t="s">
        <v>1068</v>
      </c>
      <c r="B297" s="10">
        <v>0.47606666666666669</v>
      </c>
      <c r="C297" s="8">
        <v>3.7000000000000002E-3</v>
      </c>
    </row>
    <row r="298" spans="1:3" x14ac:dyDescent="0.3">
      <c r="A298" s="3" t="s">
        <v>632</v>
      </c>
      <c r="B298" s="10">
        <v>0.49536666666666673</v>
      </c>
      <c r="C298" s="8">
        <v>2.18E-2</v>
      </c>
    </row>
    <row r="299" spans="1:3" x14ac:dyDescent="0.3">
      <c r="A299" s="4" t="s">
        <v>633</v>
      </c>
      <c r="B299" s="10">
        <v>0.49536666666666673</v>
      </c>
      <c r="C299" s="8">
        <v>2.18E-2</v>
      </c>
    </row>
    <row r="300" spans="1:3" x14ac:dyDescent="0.3">
      <c r="A300" s="3" t="s">
        <v>332</v>
      </c>
      <c r="B300" s="10">
        <v>0.49536666666666673</v>
      </c>
      <c r="C300" s="8">
        <v>3.1399999999999997E-2</v>
      </c>
    </row>
    <row r="301" spans="1:3" x14ac:dyDescent="0.3">
      <c r="A301" s="4" t="s">
        <v>333</v>
      </c>
      <c r="B301" s="10">
        <v>0.49536666666666673</v>
      </c>
      <c r="C301" s="8">
        <v>3.1399999999999997E-2</v>
      </c>
    </row>
    <row r="302" spans="1:3" x14ac:dyDescent="0.3">
      <c r="A302" s="3" t="s">
        <v>40</v>
      </c>
      <c r="B302" s="10">
        <v>0.50179999999999991</v>
      </c>
      <c r="C302" s="8">
        <v>208.97</v>
      </c>
    </row>
    <row r="303" spans="1:3" x14ac:dyDescent="0.3">
      <c r="A303" s="4" t="s">
        <v>41</v>
      </c>
      <c r="B303" s="10">
        <v>0.50179999999999991</v>
      </c>
      <c r="C303" s="8">
        <v>208.97</v>
      </c>
    </row>
    <row r="304" spans="1:3" x14ac:dyDescent="0.3">
      <c r="A304" s="3" t="s">
        <v>1286</v>
      </c>
      <c r="B304" s="10">
        <v>0.50823333333333343</v>
      </c>
      <c r="C304" s="8">
        <v>0.1431</v>
      </c>
    </row>
    <row r="305" spans="1:3" x14ac:dyDescent="0.3">
      <c r="A305" s="4" t="s">
        <v>465</v>
      </c>
      <c r="B305" s="10">
        <v>0.50823333333333343</v>
      </c>
      <c r="C305" s="8">
        <v>0.1431</v>
      </c>
    </row>
    <row r="306" spans="1:3" x14ac:dyDescent="0.3">
      <c r="A306" s="3" t="s">
        <v>81</v>
      </c>
      <c r="B306" s="10">
        <v>0.51466666666666672</v>
      </c>
      <c r="C306" s="8">
        <v>42.45</v>
      </c>
    </row>
    <row r="307" spans="1:3" x14ac:dyDescent="0.3">
      <c r="A307" s="4" t="s">
        <v>82</v>
      </c>
      <c r="B307" s="10">
        <v>0.51466666666666672</v>
      </c>
      <c r="C307" s="8">
        <v>42.45</v>
      </c>
    </row>
    <row r="308" spans="1:3" x14ac:dyDescent="0.3">
      <c r="A308" s="3" t="s">
        <v>693</v>
      </c>
      <c r="B308" s="10">
        <v>0.52110000000000001</v>
      </c>
      <c r="C308" s="8">
        <v>0.1963</v>
      </c>
    </row>
    <row r="309" spans="1:3" x14ac:dyDescent="0.3">
      <c r="A309" s="4" t="s">
        <v>694</v>
      </c>
      <c r="B309" s="10">
        <v>0.52110000000000001</v>
      </c>
      <c r="C309" s="8">
        <v>0.1963</v>
      </c>
    </row>
    <row r="310" spans="1:3" x14ac:dyDescent="0.3">
      <c r="A310" s="3" t="s">
        <v>745</v>
      </c>
      <c r="B310" s="10">
        <v>0.55969999999999998</v>
      </c>
      <c r="C310" s="8">
        <v>4.1999999999999997E-3</v>
      </c>
    </row>
    <row r="311" spans="1:3" x14ac:dyDescent="0.3">
      <c r="A311" s="4" t="s">
        <v>746</v>
      </c>
      <c r="B311" s="10">
        <v>0.55969999999999998</v>
      </c>
      <c r="C311" s="8">
        <v>4.1999999999999997E-3</v>
      </c>
    </row>
    <row r="312" spans="1:3" x14ac:dyDescent="0.3">
      <c r="A312" s="3" t="s">
        <v>312</v>
      </c>
      <c r="B312" s="10">
        <v>0.56613333333333327</v>
      </c>
      <c r="C312" s="8">
        <v>8.5699999999999998E-2</v>
      </c>
    </row>
    <row r="313" spans="1:3" x14ac:dyDescent="0.3">
      <c r="A313" s="4" t="s">
        <v>313</v>
      </c>
      <c r="B313" s="10">
        <v>0.56613333333333327</v>
      </c>
      <c r="C313" s="8">
        <v>8.5699999999999998E-2</v>
      </c>
    </row>
    <row r="314" spans="1:3" x14ac:dyDescent="0.3">
      <c r="A314" s="3" t="s">
        <v>485</v>
      </c>
      <c r="B314" s="10">
        <v>0.57899999999999985</v>
      </c>
      <c r="C314" s="8">
        <v>0.89870000000000005</v>
      </c>
    </row>
    <row r="315" spans="1:3" x14ac:dyDescent="0.3">
      <c r="A315" s="4" t="s">
        <v>485</v>
      </c>
      <c r="B315" s="10">
        <v>0.57899999999999985</v>
      </c>
      <c r="C315" s="8">
        <v>0.89870000000000005</v>
      </c>
    </row>
    <row r="316" spans="1:3" x14ac:dyDescent="0.3">
      <c r="A316" s="3" t="s">
        <v>938</v>
      </c>
      <c r="B316" s="10">
        <v>0.58543333333333336</v>
      </c>
      <c r="C316" s="8">
        <v>5.1999999999999998E-3</v>
      </c>
    </row>
    <row r="317" spans="1:3" x14ac:dyDescent="0.3">
      <c r="A317" s="4" t="s">
        <v>939</v>
      </c>
      <c r="B317" s="10">
        <v>0.58543333333333336</v>
      </c>
      <c r="C317" s="8">
        <v>5.1999999999999998E-3</v>
      </c>
    </row>
    <row r="318" spans="1:3" x14ac:dyDescent="0.3">
      <c r="A318" s="3" t="s">
        <v>765</v>
      </c>
      <c r="B318" s="10">
        <v>0.59186666666666665</v>
      </c>
      <c r="C318" s="8">
        <v>5.0000000000000001E-4</v>
      </c>
    </row>
    <row r="319" spans="1:3" x14ac:dyDescent="0.3">
      <c r="A319" s="4" t="s">
        <v>766</v>
      </c>
      <c r="B319" s="10">
        <v>0.59186666666666665</v>
      </c>
      <c r="C319" s="8">
        <v>5.0000000000000001E-4</v>
      </c>
    </row>
    <row r="320" spans="1:3" x14ac:dyDescent="0.3">
      <c r="A320" s="3" t="s">
        <v>565</v>
      </c>
      <c r="B320" s="10">
        <v>0.59186666666666665</v>
      </c>
      <c r="C320" s="8">
        <v>9.5600000000000004E-2</v>
      </c>
    </row>
    <row r="321" spans="1:3" x14ac:dyDescent="0.3">
      <c r="A321" s="4" t="s">
        <v>566</v>
      </c>
      <c r="B321" s="10">
        <v>0.59186666666666665</v>
      </c>
      <c r="C321" s="8">
        <v>9.5600000000000004E-2</v>
      </c>
    </row>
    <row r="322" spans="1:3" x14ac:dyDescent="0.3">
      <c r="A322" s="3" t="s">
        <v>1029</v>
      </c>
      <c r="B322" s="10">
        <v>0.61760000000000004</v>
      </c>
      <c r="C322" s="8">
        <v>4.0000000000000002E-4</v>
      </c>
    </row>
    <row r="323" spans="1:3" x14ac:dyDescent="0.3">
      <c r="A323" s="4" t="s">
        <v>1029</v>
      </c>
      <c r="B323" s="10">
        <v>0.61760000000000004</v>
      </c>
      <c r="C323" s="8">
        <v>4.0000000000000002E-4</v>
      </c>
    </row>
    <row r="324" spans="1:3" x14ac:dyDescent="0.3">
      <c r="A324" s="3" t="s">
        <v>991</v>
      </c>
      <c r="B324" s="10">
        <v>0.63046666666666662</v>
      </c>
      <c r="C324" s="8">
        <v>0.20660000000000001</v>
      </c>
    </row>
    <row r="325" spans="1:3" x14ac:dyDescent="0.3">
      <c r="A325" s="4" t="s">
        <v>992</v>
      </c>
      <c r="B325" s="10">
        <v>0.63046666666666662</v>
      </c>
      <c r="C325" s="8">
        <v>0.20660000000000001</v>
      </c>
    </row>
    <row r="326" spans="1:3" x14ac:dyDescent="0.3">
      <c r="A326" s="3" t="s">
        <v>644</v>
      </c>
      <c r="B326" s="10">
        <v>0.6690666666666667</v>
      </c>
      <c r="C326" s="8">
        <v>0.1108</v>
      </c>
    </row>
    <row r="327" spans="1:3" x14ac:dyDescent="0.3">
      <c r="A327" s="4" t="s">
        <v>645</v>
      </c>
      <c r="B327" s="10">
        <v>0.6690666666666667</v>
      </c>
      <c r="C327" s="8">
        <v>0.1108</v>
      </c>
    </row>
    <row r="328" spans="1:3" x14ac:dyDescent="0.3">
      <c r="A328" s="3" t="s">
        <v>1177</v>
      </c>
      <c r="B328" s="10">
        <v>0.67549999999999999</v>
      </c>
      <c r="C328" s="8">
        <v>8.3599999999999994E-2</v>
      </c>
    </row>
    <row r="329" spans="1:3" x14ac:dyDescent="0.3">
      <c r="A329" s="4" t="s">
        <v>1178</v>
      </c>
      <c r="B329" s="10">
        <v>0.67549999999999999</v>
      </c>
      <c r="C329" s="8">
        <v>8.3599999999999994E-2</v>
      </c>
    </row>
    <row r="330" spans="1:3" x14ac:dyDescent="0.3">
      <c r="A330" s="3" t="s">
        <v>607</v>
      </c>
      <c r="B330" s="10">
        <v>0.68193333333333339</v>
      </c>
      <c r="C330" s="8">
        <v>5.4999999999999997E-3</v>
      </c>
    </row>
    <row r="331" spans="1:3" x14ac:dyDescent="0.3">
      <c r="A331" s="4" t="s">
        <v>608</v>
      </c>
      <c r="B331" s="10">
        <v>0.68193333333333339</v>
      </c>
      <c r="C331" s="8">
        <v>5.4999999999999997E-3</v>
      </c>
    </row>
    <row r="332" spans="1:3" x14ac:dyDescent="0.3">
      <c r="A332" s="3" t="s">
        <v>553</v>
      </c>
      <c r="B332" s="10">
        <v>0.70123333333333326</v>
      </c>
      <c r="C332" s="8">
        <v>2.58E-2</v>
      </c>
    </row>
    <row r="333" spans="1:3" x14ac:dyDescent="0.3">
      <c r="A333" s="4" t="s">
        <v>554</v>
      </c>
      <c r="B333" s="10">
        <v>0.70123333333333326</v>
      </c>
      <c r="C333" s="8">
        <v>2.58E-2</v>
      </c>
    </row>
    <row r="334" spans="1:3" x14ac:dyDescent="0.3">
      <c r="A334" s="3" t="s">
        <v>713</v>
      </c>
      <c r="B334" s="10">
        <v>0.70766666666666678</v>
      </c>
      <c r="C334" s="8">
        <v>1.6899999999999998E-2</v>
      </c>
    </row>
    <row r="335" spans="1:3" x14ac:dyDescent="0.3">
      <c r="A335" s="4" t="s">
        <v>714</v>
      </c>
      <c r="B335" s="10">
        <v>0.70766666666666678</v>
      </c>
      <c r="C335" s="8">
        <v>1.6899999999999998E-2</v>
      </c>
    </row>
    <row r="336" spans="1:3" x14ac:dyDescent="0.3">
      <c r="A336" s="3" t="s">
        <v>1041</v>
      </c>
      <c r="B336" s="10">
        <v>0.72053333333333336</v>
      </c>
      <c r="C336" s="8">
        <v>1.32E-2</v>
      </c>
    </row>
    <row r="337" spans="1:3" x14ac:dyDescent="0.3">
      <c r="A337" s="4" t="s">
        <v>1042</v>
      </c>
      <c r="B337" s="10">
        <v>0.72053333333333336</v>
      </c>
      <c r="C337" s="8">
        <v>1.32E-2</v>
      </c>
    </row>
    <row r="338" spans="1:3" x14ac:dyDescent="0.3">
      <c r="A338" s="3" t="s">
        <v>789</v>
      </c>
      <c r="B338" s="10">
        <v>0.72696666666666676</v>
      </c>
      <c r="C338" s="8">
        <v>8.8000000000000005E-3</v>
      </c>
    </row>
    <row r="339" spans="1:3" x14ac:dyDescent="0.3">
      <c r="A339" s="4" t="s">
        <v>790</v>
      </c>
      <c r="B339" s="10">
        <v>0.72696666666666676</v>
      </c>
      <c r="C339" s="8">
        <v>8.8000000000000005E-3</v>
      </c>
    </row>
    <row r="340" spans="1:3" x14ac:dyDescent="0.3">
      <c r="A340" s="3" t="s">
        <v>926</v>
      </c>
      <c r="B340" s="10">
        <v>0.76556666666666662</v>
      </c>
      <c r="C340" s="8">
        <v>9.06</v>
      </c>
    </row>
    <row r="341" spans="1:3" x14ac:dyDescent="0.3">
      <c r="A341" s="4" t="s">
        <v>927</v>
      </c>
      <c r="B341" s="10">
        <v>0.76556666666666662</v>
      </c>
      <c r="C341" s="8">
        <v>9.06</v>
      </c>
    </row>
    <row r="342" spans="1:3" x14ac:dyDescent="0.3">
      <c r="A342" s="3" t="s">
        <v>416</v>
      </c>
      <c r="B342" s="10">
        <v>0.76556666666666662</v>
      </c>
      <c r="C342" s="8">
        <v>6.7400000000000002E-2</v>
      </c>
    </row>
    <row r="343" spans="1:3" x14ac:dyDescent="0.3">
      <c r="A343" s="4" t="s">
        <v>417</v>
      </c>
      <c r="B343" s="10">
        <v>0.76556666666666662</v>
      </c>
      <c r="C343" s="8">
        <v>6.7400000000000002E-2</v>
      </c>
    </row>
    <row r="344" spans="1:3" x14ac:dyDescent="0.3">
      <c r="A344" s="3" t="s">
        <v>932</v>
      </c>
      <c r="B344" s="10">
        <v>0.76556666666666662</v>
      </c>
      <c r="C344" s="8">
        <v>0.30370000000000003</v>
      </c>
    </row>
    <row r="345" spans="1:3" x14ac:dyDescent="0.3">
      <c r="A345" s="4" t="s">
        <v>933</v>
      </c>
      <c r="B345" s="10">
        <v>0.76556666666666662</v>
      </c>
      <c r="C345" s="8">
        <v>0.30370000000000003</v>
      </c>
    </row>
    <row r="346" spans="1:3" x14ac:dyDescent="0.3">
      <c r="A346" s="3" t="s">
        <v>398</v>
      </c>
      <c r="B346" s="10">
        <v>0.83633333333333348</v>
      </c>
      <c r="C346" s="8">
        <v>0.67269999999999996</v>
      </c>
    </row>
    <row r="347" spans="1:3" x14ac:dyDescent="0.3">
      <c r="A347" s="4" t="s">
        <v>399</v>
      </c>
      <c r="B347" s="10">
        <v>0.83633333333333348</v>
      </c>
      <c r="C347" s="8">
        <v>0.67269999999999996</v>
      </c>
    </row>
    <row r="348" spans="1:3" x14ac:dyDescent="0.3">
      <c r="A348" s="3" t="s">
        <v>231</v>
      </c>
      <c r="B348" s="10">
        <v>0.84276666666666677</v>
      </c>
      <c r="C348" s="8">
        <v>0.27810000000000001</v>
      </c>
    </row>
    <row r="349" spans="1:3" x14ac:dyDescent="0.3">
      <c r="A349" s="4" t="s">
        <v>232</v>
      </c>
      <c r="B349" s="10">
        <v>0.84276666666666677</v>
      </c>
      <c r="C349" s="8">
        <v>0.27810000000000001</v>
      </c>
    </row>
    <row r="350" spans="1:3" x14ac:dyDescent="0.3">
      <c r="A350" s="3" t="s">
        <v>269</v>
      </c>
      <c r="B350" s="10">
        <v>0.84920000000000007</v>
      </c>
      <c r="C350" s="8">
        <v>0.43259999999999998</v>
      </c>
    </row>
    <row r="351" spans="1:3" x14ac:dyDescent="0.3">
      <c r="A351" s="4" t="s">
        <v>270</v>
      </c>
      <c r="B351" s="10">
        <v>0.84920000000000007</v>
      </c>
      <c r="C351" s="8">
        <v>0.43259999999999998</v>
      </c>
    </row>
    <row r="352" spans="1:3" x14ac:dyDescent="0.3">
      <c r="A352" s="3" t="s">
        <v>951</v>
      </c>
      <c r="B352" s="10">
        <v>0.85563333333333336</v>
      </c>
      <c r="C352" s="8">
        <v>8.4400000000000003E-2</v>
      </c>
    </row>
    <row r="353" spans="1:3" x14ac:dyDescent="0.3">
      <c r="A353" s="4" t="s">
        <v>952</v>
      </c>
      <c r="B353" s="10">
        <v>0.85563333333333336</v>
      </c>
      <c r="C353" s="8">
        <v>8.4400000000000003E-2</v>
      </c>
    </row>
    <row r="354" spans="1:3" x14ac:dyDescent="0.3">
      <c r="A354" s="3" t="s">
        <v>890</v>
      </c>
      <c r="B354" s="10">
        <v>1.0229000000000001</v>
      </c>
      <c r="C354" s="8">
        <v>6.0499999999999998E-2</v>
      </c>
    </row>
    <row r="355" spans="1:3" x14ac:dyDescent="0.3">
      <c r="A355" s="4" t="s">
        <v>891</v>
      </c>
      <c r="B355" s="10">
        <v>1.0229000000000001</v>
      </c>
      <c r="C355" s="8">
        <v>6.0499999999999998E-2</v>
      </c>
    </row>
    <row r="356" spans="1:3" x14ac:dyDescent="0.3">
      <c r="A356" s="3" t="s">
        <v>528</v>
      </c>
      <c r="B356" s="10">
        <v>1.0229000000000001</v>
      </c>
      <c r="C356" s="8">
        <v>3.8999999999999998E-3</v>
      </c>
    </row>
    <row r="357" spans="1:3" x14ac:dyDescent="0.3">
      <c r="A357" s="4" t="s">
        <v>529</v>
      </c>
      <c r="B357" s="10">
        <v>1.0229000000000001</v>
      </c>
      <c r="C357" s="8">
        <v>3.8999999999999998E-3</v>
      </c>
    </row>
    <row r="358" spans="1:3" x14ac:dyDescent="0.3">
      <c r="A358" s="3" t="s">
        <v>1116</v>
      </c>
      <c r="B358" s="10">
        <v>1.0422</v>
      </c>
      <c r="C358" s="8">
        <v>0.33800000000000002</v>
      </c>
    </row>
    <row r="359" spans="1:3" x14ac:dyDescent="0.3">
      <c r="A359" s="4" t="s">
        <v>1117</v>
      </c>
      <c r="B359" s="10">
        <v>1.0422</v>
      </c>
      <c r="C359" s="8">
        <v>0.33800000000000002</v>
      </c>
    </row>
    <row r="360" spans="1:3" x14ac:dyDescent="0.3">
      <c r="A360" s="3" t="s">
        <v>739</v>
      </c>
      <c r="B360" s="10">
        <v>1.0550666666666668</v>
      </c>
      <c r="C360" s="8">
        <v>1.24E-2</v>
      </c>
    </row>
    <row r="361" spans="1:3" x14ac:dyDescent="0.3">
      <c r="A361" s="4" t="s">
        <v>739</v>
      </c>
      <c r="B361" s="10">
        <v>1.0550666666666668</v>
      </c>
      <c r="C361" s="8">
        <v>1.24E-2</v>
      </c>
    </row>
    <row r="362" spans="1:3" x14ac:dyDescent="0.3">
      <c r="A362" s="3" t="s">
        <v>1097</v>
      </c>
      <c r="B362" s="10">
        <v>1.0679333333333332</v>
      </c>
      <c r="C362" s="8">
        <v>2.63</v>
      </c>
    </row>
    <row r="363" spans="1:3" x14ac:dyDescent="0.3">
      <c r="A363" s="4" t="s">
        <v>1098</v>
      </c>
      <c r="B363" s="10">
        <v>1.0679333333333332</v>
      </c>
      <c r="C363" s="8">
        <v>2.63</v>
      </c>
    </row>
    <row r="364" spans="1:3" x14ac:dyDescent="0.3">
      <c r="A364" s="3" t="s">
        <v>1184</v>
      </c>
      <c r="B364" s="10">
        <v>1.1773</v>
      </c>
      <c r="C364" s="8">
        <v>3.3E-3</v>
      </c>
    </row>
    <row r="365" spans="1:3" x14ac:dyDescent="0.3">
      <c r="A365" s="4" t="s">
        <v>1185</v>
      </c>
      <c r="B365" s="10">
        <v>1.1773</v>
      </c>
      <c r="C365" s="8">
        <v>3.3E-3</v>
      </c>
    </row>
    <row r="366" spans="1:3" x14ac:dyDescent="0.3">
      <c r="A366" s="3" t="s">
        <v>522</v>
      </c>
      <c r="B366" s="10">
        <v>1.3895999999999999</v>
      </c>
      <c r="C366" s="8">
        <v>3.1899999999999998E-2</v>
      </c>
    </row>
    <row r="367" spans="1:3" x14ac:dyDescent="0.3">
      <c r="A367" s="4" t="s">
        <v>522</v>
      </c>
      <c r="B367" s="10">
        <v>1.3895999999999999</v>
      </c>
      <c r="C367" s="8">
        <v>3.1899999999999998E-2</v>
      </c>
    </row>
    <row r="368" spans="1:3" x14ac:dyDescent="0.3">
      <c r="A368" s="3" t="s">
        <v>732</v>
      </c>
      <c r="B368" s="10">
        <v>1.672666666666667</v>
      </c>
      <c r="C368" s="8">
        <v>0.18329999999999999</v>
      </c>
    </row>
    <row r="369" spans="1:3" x14ac:dyDescent="0.3">
      <c r="A369" s="4" t="s">
        <v>733</v>
      </c>
      <c r="B369" s="10">
        <v>1.672666666666667</v>
      </c>
      <c r="C369" s="8">
        <v>0.18329999999999999</v>
      </c>
    </row>
    <row r="370" spans="1:3" x14ac:dyDescent="0.3">
      <c r="A370" s="3" t="s">
        <v>859</v>
      </c>
      <c r="B370" s="10">
        <v>1.8335000000000001</v>
      </c>
      <c r="C370" s="8">
        <v>1.38</v>
      </c>
    </row>
    <row r="371" spans="1:3" x14ac:dyDescent="0.3">
      <c r="A371" s="4" t="s">
        <v>860</v>
      </c>
      <c r="B371" s="10">
        <v>1.8335000000000001</v>
      </c>
      <c r="C371" s="8">
        <v>1.38</v>
      </c>
    </row>
    <row r="372" spans="1:3" x14ac:dyDescent="0.3">
      <c r="A372" s="3" t="s">
        <v>908</v>
      </c>
      <c r="B372" s="10">
        <v>1.8914</v>
      </c>
      <c r="C372" s="8">
        <v>1.12E-2</v>
      </c>
    </row>
    <row r="373" spans="1:3" x14ac:dyDescent="0.3">
      <c r="A373" s="4" t="s">
        <v>909</v>
      </c>
      <c r="B373" s="10">
        <v>1.8914</v>
      </c>
      <c r="C373" s="8">
        <v>1.12E-2</v>
      </c>
    </row>
    <row r="374" spans="1:3" x14ac:dyDescent="0.3">
      <c r="A374" s="3" t="s">
        <v>968</v>
      </c>
      <c r="B374" s="10">
        <v>2.3739000000000003</v>
      </c>
      <c r="C374" s="8">
        <v>6.9999999999999999E-4</v>
      </c>
    </row>
    <row r="375" spans="1:3" x14ac:dyDescent="0.3">
      <c r="A375" s="4" t="s">
        <v>969</v>
      </c>
      <c r="B375" s="10">
        <v>2.3739000000000003</v>
      </c>
      <c r="C375" s="8">
        <v>6.9999999999999999E-4</v>
      </c>
    </row>
    <row r="376" spans="1:3" x14ac:dyDescent="0.3">
      <c r="A376" s="3" t="s">
        <v>1201</v>
      </c>
      <c r="B376" s="10">
        <v>2.747033333333333</v>
      </c>
      <c r="C376" s="8">
        <v>1.8E-3</v>
      </c>
    </row>
    <row r="377" spans="1:3" x14ac:dyDescent="0.3">
      <c r="A377" s="4" t="s">
        <v>1202</v>
      </c>
      <c r="B377" s="10">
        <v>2.747033333333333</v>
      </c>
      <c r="C377" s="8">
        <v>1.8E-3</v>
      </c>
    </row>
    <row r="378" spans="1:3" x14ac:dyDescent="0.3">
      <c r="A378" s="3" t="s">
        <v>1258</v>
      </c>
      <c r="B378" s="9">
        <v>0</v>
      </c>
      <c r="C378" s="8">
        <v>1E-4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FCB6E7-744B-4DEB-8D22-620422900D6F}">
  <sheetPr codeName="Sheet6"/>
  <dimension ref="A1:H23"/>
  <sheetViews>
    <sheetView topLeftCell="A15" zoomScale="112" zoomScaleNormal="75" workbookViewId="0">
      <selection activeCell="J29" sqref="J29"/>
    </sheetView>
  </sheetViews>
  <sheetFormatPr defaultRowHeight="14.4" x14ac:dyDescent="0.3"/>
  <cols>
    <col min="1" max="2" width="31.109375" bestFit="1" customWidth="1"/>
    <col min="3" max="3" width="15" customWidth="1"/>
    <col min="4" max="4" width="18.6640625" bestFit="1" customWidth="1"/>
    <col min="5" max="5" width="17.6640625" bestFit="1" customWidth="1"/>
    <col min="6" max="6" width="22" bestFit="1" customWidth="1"/>
    <col min="7" max="7" width="32.5546875" bestFit="1" customWidth="1"/>
    <col min="8" max="8" width="21" bestFit="1" customWidth="1"/>
  </cols>
  <sheetData>
    <row r="1" spans="1:8" x14ac:dyDescent="0.3">
      <c r="A1" s="11" t="s">
        <v>0</v>
      </c>
      <c r="B1" s="14" t="s">
        <v>2</v>
      </c>
      <c r="C1" s="11" t="s">
        <v>3</v>
      </c>
      <c r="D1" s="12" t="s">
        <v>1273</v>
      </c>
      <c r="E1" s="12" t="s">
        <v>1274</v>
      </c>
      <c r="F1" s="11" t="s">
        <v>1287</v>
      </c>
      <c r="G1" s="11" t="s">
        <v>1288</v>
      </c>
      <c r="H1" s="11" t="s">
        <v>1289</v>
      </c>
    </row>
    <row r="2" spans="1:8" hidden="1" x14ac:dyDescent="0.3">
      <c r="A2" s="6" t="s">
        <v>7</v>
      </c>
      <c r="B2" s="13">
        <v>112396.23</v>
      </c>
      <c r="C2" s="15">
        <v>6.7999999999999996E-3</v>
      </c>
      <c r="D2" s="16">
        <f>Table4[[#This Row],[1h Change (%)]]*24</f>
        <v>0.16319999999999998</v>
      </c>
      <c r="E2" s="16">
        <f>Table4[[#This Row],[24h Change (%)]]*7</f>
        <v>1.1423999999999999</v>
      </c>
      <c r="F2">
        <f t="shared" ref="F2:F3" si="0" xml:space="preserve"> B2 / (1 + C2/100)</f>
        <v>112388.58757604483</v>
      </c>
      <c r="G2">
        <f t="shared" ref="G2:G3" si="1" xml:space="preserve"> B2 / (1 - D2/100)</f>
        <v>112579.96049552869</v>
      </c>
      <c r="H2">
        <f t="shared" ref="H2:H3" si="2" xml:space="preserve"> B2 / (1 + E2/100)</f>
        <v>111126.71836934854</v>
      </c>
    </row>
    <row r="3" spans="1:8" hidden="1" x14ac:dyDescent="0.3">
      <c r="A3" s="7" t="s">
        <v>14</v>
      </c>
      <c r="B3" s="13">
        <v>4631.6899999999996</v>
      </c>
      <c r="C3" s="17">
        <v>4.3E-3</v>
      </c>
      <c r="D3" s="16">
        <f>Table4[[#This Row],[1h Change (%)]]*24</f>
        <v>0.1032</v>
      </c>
      <c r="E3" s="16">
        <f>Table4[[#This Row],[24h Change (%)]]*7</f>
        <v>0.72240000000000004</v>
      </c>
      <c r="F3">
        <f t="shared" si="0"/>
        <v>4631.4908458936261</v>
      </c>
      <c r="G3">
        <f t="shared" si="1"/>
        <v>4636.4748420369815</v>
      </c>
      <c r="H3">
        <f t="shared" si="2"/>
        <v>4598.4706480385694</v>
      </c>
    </row>
    <row r="4" spans="1:8" x14ac:dyDescent="0.3">
      <c r="A4" s="6" t="s">
        <v>141</v>
      </c>
      <c r="B4" s="13">
        <v>4.54</v>
      </c>
      <c r="C4" s="15">
        <v>4.0000000000000002E-4</v>
      </c>
      <c r="D4" s="16">
        <f>Table4[[#This Row],[1h Change (%)]]*24</f>
        <v>9.6000000000000009E-3</v>
      </c>
      <c r="E4" s="16">
        <f>Table4[[#This Row],[24h Change (%)]]*7</f>
        <v>6.720000000000001E-2</v>
      </c>
      <c r="F4">
        <f t="shared" ref="F4:F22" si="3" xml:space="preserve"> B4 / (1 + C4/100)</f>
        <v>4.5399818400726399</v>
      </c>
      <c r="G4">
        <f t="shared" ref="G4:G22" si="4" xml:space="preserve"> B4 / (1 - D4/100)</f>
        <v>4.5404358818446573</v>
      </c>
      <c r="H4">
        <f t="shared" ref="H4:H22" si="5" xml:space="preserve"> B4 / (1 + E4/100)</f>
        <v>4.5369511688145563</v>
      </c>
    </row>
    <row r="5" spans="1:8" x14ac:dyDescent="0.3">
      <c r="A5" s="7" t="s">
        <v>262</v>
      </c>
      <c r="B5" s="13">
        <v>4.24</v>
      </c>
      <c r="C5" s="17">
        <v>1.9E-3</v>
      </c>
      <c r="D5" s="16">
        <f>Table4[[#This Row],[1h Change (%)]]*24</f>
        <v>4.5600000000000002E-2</v>
      </c>
      <c r="E5" s="16">
        <f>Table4[[#This Row],[24h Change (%)]]*7</f>
        <v>0.31920000000000004</v>
      </c>
      <c r="F5">
        <f t="shared" si="3"/>
        <v>4.2399194415306107</v>
      </c>
      <c r="G5">
        <f t="shared" si="4"/>
        <v>4.2419343220508559</v>
      </c>
      <c r="H5">
        <f t="shared" si="5"/>
        <v>4.2265089833252256</v>
      </c>
    </row>
    <row r="6" spans="1:8" hidden="1" x14ac:dyDescent="0.3">
      <c r="A6" s="6" t="s">
        <v>34</v>
      </c>
      <c r="B6" s="13">
        <v>864.91</v>
      </c>
      <c r="C6" s="15">
        <v>2.3999999999999998E-3</v>
      </c>
      <c r="D6" s="16">
        <f>Table4[[#This Row],[1h Change (%)]]*24</f>
        <v>5.7599999999999998E-2</v>
      </c>
      <c r="E6" s="16">
        <f>Table4[[#This Row],[24h Change (%)]]*7</f>
        <v>0.4032</v>
      </c>
      <c r="F6">
        <f t="shared" si="3"/>
        <v>864.88924265817616</v>
      </c>
      <c r="G6">
        <f t="shared" si="4"/>
        <v>865.40847528176232</v>
      </c>
      <c r="H6">
        <f t="shared" si="5"/>
        <v>861.43668727689953</v>
      </c>
    </row>
    <row r="7" spans="1:8" hidden="1" x14ac:dyDescent="0.3">
      <c r="A7" s="7" t="s">
        <v>40</v>
      </c>
      <c r="B7" s="13">
        <v>208.97</v>
      </c>
      <c r="C7" s="17">
        <v>7.7999999999999996E-3</v>
      </c>
      <c r="D7" s="16">
        <f>Table4[[#This Row],[1h Change (%)]]*24</f>
        <v>0.18719999999999998</v>
      </c>
      <c r="E7" s="16">
        <f>Table4[[#This Row],[24h Change (%)]]*7</f>
        <v>1.3103999999999998</v>
      </c>
      <c r="F7">
        <f t="shared" si="3"/>
        <v>208.95370161127431</v>
      </c>
      <c r="G7">
        <f t="shared" si="4"/>
        <v>209.36192552458201</v>
      </c>
      <c r="H7">
        <f t="shared" si="5"/>
        <v>206.26707623304222</v>
      </c>
    </row>
    <row r="8" spans="1:8" x14ac:dyDescent="0.3">
      <c r="A8" s="7" t="s">
        <v>777</v>
      </c>
      <c r="B8" s="13">
        <v>3.38</v>
      </c>
      <c r="C8" s="17">
        <v>8.9999999999999998E-4</v>
      </c>
      <c r="D8" s="16">
        <f>Table4[[#This Row],[1h Change (%)]]*24</f>
        <v>2.1600000000000001E-2</v>
      </c>
      <c r="E8" s="16">
        <f>Table4[[#This Row],[24h Change (%)]]*7</f>
        <v>0.1512</v>
      </c>
      <c r="F8">
        <f t="shared" si="3"/>
        <v>3.3799695802737775</v>
      </c>
      <c r="G8">
        <f t="shared" si="4"/>
        <v>3.38073023773135</v>
      </c>
      <c r="H8">
        <f t="shared" si="5"/>
        <v>3.3748971555008827</v>
      </c>
    </row>
    <row r="9" spans="1:8" x14ac:dyDescent="0.3">
      <c r="A9" s="6" t="s">
        <v>21</v>
      </c>
      <c r="B9" s="13">
        <v>3.02</v>
      </c>
      <c r="C9" s="15">
        <v>4.4999999999999997E-3</v>
      </c>
      <c r="D9" s="16">
        <f>Table4[[#This Row],[1h Change (%)]]*24</f>
        <v>0.10799999999999998</v>
      </c>
      <c r="E9" s="16">
        <f>Table4[[#This Row],[24h Change (%)]]*7</f>
        <v>0.75599999999999989</v>
      </c>
      <c r="F9">
        <f t="shared" si="3"/>
        <v>3.0198641061152247</v>
      </c>
      <c r="G9">
        <f t="shared" si="4"/>
        <v>3.0232651263364434</v>
      </c>
      <c r="H9">
        <f t="shared" si="5"/>
        <v>2.997340108777641</v>
      </c>
    </row>
    <row r="10" spans="1:8" x14ac:dyDescent="0.3">
      <c r="A10" s="7" t="s">
        <v>288</v>
      </c>
      <c r="B10" s="13">
        <v>2.88</v>
      </c>
      <c r="C10" s="17">
        <v>1.2999999999999999E-3</v>
      </c>
      <c r="D10" s="16">
        <f>Table4[[#This Row],[1h Change (%)]]*24</f>
        <v>3.1199999999999999E-2</v>
      </c>
      <c r="E10" s="16">
        <f>Table4[[#This Row],[24h Change (%)]]*7</f>
        <v>0.21839999999999998</v>
      </c>
      <c r="F10">
        <f t="shared" si="3"/>
        <v>2.8799625604867134</v>
      </c>
      <c r="G10">
        <f t="shared" si="4"/>
        <v>2.8808988404382165</v>
      </c>
      <c r="H10">
        <f t="shared" si="5"/>
        <v>2.873723787248649</v>
      </c>
    </row>
    <row r="11" spans="1:8" x14ac:dyDescent="0.3">
      <c r="A11" s="6" t="s">
        <v>1097</v>
      </c>
      <c r="B11" s="13">
        <v>2.63</v>
      </c>
      <c r="C11" s="15">
        <v>1.66E-2</v>
      </c>
      <c r="D11" s="16">
        <f>Table4[[#This Row],[1h Change (%)]]*24</f>
        <v>0.39839999999999998</v>
      </c>
      <c r="E11" s="16">
        <f>Table4[[#This Row],[24h Change (%)]]*7</f>
        <v>2.7887999999999997</v>
      </c>
      <c r="F11">
        <f t="shared" si="3"/>
        <v>2.6295634924602513</v>
      </c>
      <c r="G11">
        <f t="shared" si="4"/>
        <v>2.6405198310067308</v>
      </c>
      <c r="H11">
        <f t="shared" si="5"/>
        <v>2.5586445215821181</v>
      </c>
    </row>
    <row r="12" spans="1:8" x14ac:dyDescent="0.3">
      <c r="A12" s="7" t="s">
        <v>391</v>
      </c>
      <c r="B12" s="13">
        <v>2.17</v>
      </c>
      <c r="C12" s="17">
        <v>3.0999999999999999E-3</v>
      </c>
      <c r="D12" s="16">
        <f>Table4[[#This Row],[1h Change (%)]]*24</f>
        <v>7.4399999999999994E-2</v>
      </c>
      <c r="E12" s="16">
        <f>Table4[[#This Row],[24h Change (%)]]*7</f>
        <v>0.52079999999999993</v>
      </c>
      <c r="F12">
        <f t="shared" si="3"/>
        <v>2.1699327320853055</v>
      </c>
      <c r="G12">
        <f t="shared" si="4"/>
        <v>2.1716156820674581</v>
      </c>
      <c r="H12">
        <f t="shared" si="5"/>
        <v>2.1587571925412448</v>
      </c>
    </row>
    <row r="13" spans="1:8" hidden="1" x14ac:dyDescent="0.3">
      <c r="A13" s="7" t="s">
        <v>81</v>
      </c>
      <c r="B13" s="13">
        <v>42.45</v>
      </c>
      <c r="C13" s="17">
        <v>8.0000000000000002E-3</v>
      </c>
      <c r="D13" s="16">
        <f>Table4[[#This Row],[1h Change (%)]]*24</f>
        <v>0.192</v>
      </c>
      <c r="E13" s="16">
        <f>Table4[[#This Row],[24h Change (%)]]*7</f>
        <v>1.3440000000000001</v>
      </c>
      <c r="F13">
        <f t="shared" si="3"/>
        <v>42.446604271658266</v>
      </c>
      <c r="G13">
        <f t="shared" si="4"/>
        <v>42.531660788714333</v>
      </c>
      <c r="H13">
        <f t="shared" si="5"/>
        <v>41.887038206504585</v>
      </c>
    </row>
    <row r="14" spans="1:8" x14ac:dyDescent="0.3">
      <c r="A14" s="7" t="s">
        <v>202</v>
      </c>
      <c r="B14" s="13">
        <v>1.94</v>
      </c>
      <c r="C14" s="17">
        <v>1.6000000000000001E-3</v>
      </c>
      <c r="D14" s="16">
        <f>Table4[[#This Row],[1h Change (%)]]*24</f>
        <v>3.8400000000000004E-2</v>
      </c>
      <c r="E14" s="16">
        <f>Table4[[#This Row],[24h Change (%)]]*7</f>
        <v>0.26880000000000004</v>
      </c>
      <c r="F14">
        <f t="shared" si="3"/>
        <v>1.9399689604966319</v>
      </c>
      <c r="G14">
        <f t="shared" si="4"/>
        <v>1.9407452461745311</v>
      </c>
      <c r="H14">
        <f t="shared" si="5"/>
        <v>1.9347992595902215</v>
      </c>
    </row>
    <row r="15" spans="1:8" x14ac:dyDescent="0.3">
      <c r="A15" s="7" t="s">
        <v>276</v>
      </c>
      <c r="B15" s="13">
        <v>1.62</v>
      </c>
      <c r="C15" s="17">
        <v>1E-3</v>
      </c>
      <c r="D15" s="16">
        <f>Table4[[#This Row],[1h Change (%)]]*24</f>
        <v>2.4E-2</v>
      </c>
      <c r="E15" s="16">
        <f>Table4[[#This Row],[24h Change (%)]]*7</f>
        <v>0.16800000000000001</v>
      </c>
      <c r="F15">
        <f t="shared" si="3"/>
        <v>1.6199838001619984</v>
      </c>
      <c r="G15">
        <f t="shared" si="4"/>
        <v>1.6203888933344004</v>
      </c>
      <c r="H15">
        <f t="shared" si="5"/>
        <v>1.6172829646194395</v>
      </c>
    </row>
    <row r="16" spans="1:8" x14ac:dyDescent="0.3">
      <c r="A16" s="7" t="s">
        <v>859</v>
      </c>
      <c r="B16" s="13">
        <v>1.38</v>
      </c>
      <c r="C16" s="17">
        <v>2.8500000000000001E-2</v>
      </c>
      <c r="D16" s="16">
        <f>Table4[[#This Row],[1h Change (%)]]*24</f>
        <v>0.68400000000000005</v>
      </c>
      <c r="E16" s="16">
        <f>Table4[[#This Row],[24h Change (%)]]*7</f>
        <v>4.7880000000000003</v>
      </c>
      <c r="F16">
        <f t="shared" si="3"/>
        <v>1.3796068120585632</v>
      </c>
      <c r="G16">
        <f t="shared" si="4"/>
        <v>1.3895042087881104</v>
      </c>
      <c r="H16">
        <f t="shared" si="5"/>
        <v>1.3169446883230904</v>
      </c>
    </row>
    <row r="17" spans="1:8" hidden="1" x14ac:dyDescent="0.3">
      <c r="A17" s="6" t="s">
        <v>114</v>
      </c>
      <c r="B17" s="13">
        <v>7.42</v>
      </c>
      <c r="C17" s="15">
        <v>3.0000000000000001E-3</v>
      </c>
      <c r="D17" s="16">
        <f>Table4[[#This Row],[1h Change (%)]]*24</f>
        <v>7.2000000000000008E-2</v>
      </c>
      <c r="E17" s="16">
        <f>Table4[[#This Row],[24h Change (%)]]*7</f>
        <v>0.504</v>
      </c>
      <c r="F17">
        <f t="shared" si="3"/>
        <v>7.4197774066777997</v>
      </c>
      <c r="G17">
        <f t="shared" si="4"/>
        <v>7.4253462492994959</v>
      </c>
      <c r="H17">
        <f t="shared" si="5"/>
        <v>7.3827907346971271</v>
      </c>
    </row>
    <row r="18" spans="1:8" hidden="1" x14ac:dyDescent="0.3">
      <c r="A18" s="7" t="s">
        <v>148</v>
      </c>
      <c r="B18" s="13">
        <v>5.48</v>
      </c>
      <c r="C18" s="17">
        <v>4.7000000000000002E-3</v>
      </c>
      <c r="D18" s="16">
        <f>Table4[[#This Row],[1h Change (%)]]*24</f>
        <v>0.11280000000000001</v>
      </c>
      <c r="E18" s="16">
        <f>Table4[[#This Row],[24h Change (%)]]*7</f>
        <v>0.78960000000000008</v>
      </c>
      <c r="F18">
        <f t="shared" si="3"/>
        <v>5.4797424521047517</v>
      </c>
      <c r="G18">
        <f t="shared" si="4"/>
        <v>5.486188420538368</v>
      </c>
      <c r="H18">
        <f t="shared" si="5"/>
        <v>5.4370689039345335</v>
      </c>
    </row>
    <row r="19" spans="1:8" hidden="1" x14ac:dyDescent="0.3">
      <c r="A19" s="7" t="s">
        <v>365</v>
      </c>
      <c r="B19" s="13">
        <v>11.79</v>
      </c>
      <c r="C19" s="17">
        <v>2.3999999999999998E-3</v>
      </c>
      <c r="D19" s="16">
        <f>Table4[[#This Row],[1h Change (%)]]*24</f>
        <v>5.7599999999999998E-2</v>
      </c>
      <c r="E19" s="16">
        <f>Table4[[#This Row],[24h Change (%)]]*7</f>
        <v>0.4032</v>
      </c>
      <c r="F19">
        <f t="shared" si="3"/>
        <v>11.789717046790877</v>
      </c>
      <c r="G19">
        <f t="shared" si="4"/>
        <v>11.796794953893443</v>
      </c>
      <c r="H19">
        <f t="shared" si="5"/>
        <v>11.742653620601732</v>
      </c>
    </row>
    <row r="20" spans="1:8" hidden="1" x14ac:dyDescent="0.3">
      <c r="A20" s="7" t="s">
        <v>378</v>
      </c>
      <c r="B20" s="13">
        <v>10.119999999999999</v>
      </c>
      <c r="C20" s="17">
        <v>2.0999999999999999E-3</v>
      </c>
      <c r="D20" s="16">
        <f>Table4[[#This Row],[1h Change (%)]]*24</f>
        <v>5.04E-2</v>
      </c>
      <c r="E20" s="16">
        <f>Table4[[#This Row],[24h Change (%)]]*7</f>
        <v>0.3528</v>
      </c>
      <c r="F20">
        <f t="shared" si="3"/>
        <v>10.119787484462824</v>
      </c>
      <c r="G20">
        <f t="shared" si="4"/>
        <v>10.125103051938176</v>
      </c>
      <c r="H20">
        <f t="shared" si="5"/>
        <v>10.084422158624372</v>
      </c>
    </row>
    <row r="21" spans="1:8" hidden="1" x14ac:dyDescent="0.3">
      <c r="A21" s="7" t="s">
        <v>638</v>
      </c>
      <c r="B21" s="13">
        <v>16.850000000000001</v>
      </c>
      <c r="C21" s="17">
        <v>5.0000000000000001E-3</v>
      </c>
      <c r="D21" s="16">
        <f>Table4[[#This Row],[1h Change (%)]]*24</f>
        <v>0.12</v>
      </c>
      <c r="E21" s="16">
        <f>Table4[[#This Row],[24h Change (%)]]*7</f>
        <v>0.84</v>
      </c>
      <c r="F21">
        <f t="shared" si="3"/>
        <v>16.849157542122892</v>
      </c>
      <c r="G21">
        <f t="shared" si="4"/>
        <v>16.870244293151782</v>
      </c>
      <c r="H21">
        <f t="shared" si="5"/>
        <v>16.709639032130109</v>
      </c>
    </row>
    <row r="22" spans="1:8" hidden="1" x14ac:dyDescent="0.3">
      <c r="A22" s="6" t="s">
        <v>926</v>
      </c>
      <c r="B22" s="13">
        <v>9.06</v>
      </c>
      <c r="C22" s="15">
        <v>1.1900000000000001E-2</v>
      </c>
      <c r="D22" s="16">
        <f>Table4[[#This Row],[1h Change (%)]]*24</f>
        <v>0.28560000000000002</v>
      </c>
      <c r="E22" s="16">
        <f>Table4[[#This Row],[24h Change (%)]]*7</f>
        <v>1.9992000000000001</v>
      </c>
      <c r="F22">
        <f t="shared" si="3"/>
        <v>9.0589219882833945</v>
      </c>
      <c r="G22">
        <f t="shared" si="4"/>
        <v>9.0859494716911495</v>
      </c>
      <c r="H22">
        <f t="shared" si="5"/>
        <v>8.8824226072361352</v>
      </c>
    </row>
    <row r="23" spans="1:8" x14ac:dyDescent="0.3">
      <c r="C23" s="13"/>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7E84-5AAB-4A0E-A1C3-76120AC2229D}">
  <sheetPr codeName="Sheet7"/>
  <dimension ref="A1:Q188"/>
  <sheetViews>
    <sheetView topLeftCell="J6" zoomScale="110" zoomScaleNormal="134" workbookViewId="0">
      <selection activeCell="K23" sqref="K23"/>
    </sheetView>
  </sheetViews>
  <sheetFormatPr defaultRowHeight="14.4" x14ac:dyDescent="0.3"/>
  <cols>
    <col min="1" max="1" width="31.109375" bestFit="1" customWidth="1"/>
    <col min="2" max="2" width="17" bestFit="1" customWidth="1"/>
    <col min="3" max="3" width="19.77734375" bestFit="1" customWidth="1"/>
    <col min="4" max="4" width="31.21875" bestFit="1" customWidth="1"/>
    <col min="5" max="5" width="19.21875" customWidth="1"/>
    <col min="6" max="6" width="21.109375" customWidth="1"/>
    <col min="7" max="7" width="12.6640625" customWidth="1"/>
    <col min="10" max="10" width="14.21875" bestFit="1" customWidth="1"/>
    <col min="11" max="11" width="17.5546875" bestFit="1" customWidth="1"/>
    <col min="12" max="12" width="24.88671875" bestFit="1" customWidth="1"/>
    <col min="13" max="13" width="26.88671875" bestFit="1" customWidth="1"/>
    <col min="15" max="15" width="12.88671875" bestFit="1" customWidth="1"/>
    <col min="16" max="16" width="12.21875" bestFit="1" customWidth="1"/>
    <col min="17" max="17" width="17.77734375" bestFit="1" customWidth="1"/>
  </cols>
  <sheetData>
    <row r="1" spans="1:17" ht="15" thickBot="1" x14ac:dyDescent="0.35">
      <c r="A1" s="24" t="s">
        <v>0</v>
      </c>
      <c r="B1" s="25" t="s">
        <v>1</v>
      </c>
      <c r="C1" s="25" t="s">
        <v>2</v>
      </c>
      <c r="D1" s="25" t="s">
        <v>3</v>
      </c>
      <c r="E1" s="26" t="s">
        <v>1287</v>
      </c>
      <c r="F1" t="s">
        <v>1291</v>
      </c>
      <c r="G1" s="27" t="s">
        <v>1256</v>
      </c>
    </row>
    <row r="2" spans="1:17" ht="15" thickTop="1" x14ac:dyDescent="0.3">
      <c r="A2" s="18" t="s">
        <v>7</v>
      </c>
      <c r="B2" s="19" t="s">
        <v>8</v>
      </c>
      <c r="C2" s="19">
        <v>112396.23</v>
      </c>
      <c r="D2" s="19">
        <v>6.7999999999999996E-3</v>
      </c>
      <c r="E2">
        <f xml:space="preserve"> C2 / (1 + D2/100)</f>
        <v>112388.58757604483</v>
      </c>
      <c r="F2">
        <f xml:space="preserve"> C2 - E2</f>
        <v>7.6424239551706705</v>
      </c>
      <c r="G2" t="str">
        <f>IF(C2&gt;=10, "&gt;= $10", "&lt; $10")</f>
        <v>&gt;= $10</v>
      </c>
      <c r="J2" s="2" t="s">
        <v>1256</v>
      </c>
      <c r="K2" t="s">
        <v>1295</v>
      </c>
    </row>
    <row r="3" spans="1:17" x14ac:dyDescent="0.3">
      <c r="A3" s="20" t="s">
        <v>14</v>
      </c>
      <c r="B3" s="21" t="s">
        <v>15</v>
      </c>
      <c r="C3" s="21">
        <v>4631.6899999999996</v>
      </c>
      <c r="D3" s="21">
        <v>4.3E-3</v>
      </c>
      <c r="E3">
        <f t="shared" ref="E3:E66" si="0" xml:space="preserve"> C3 / (1 + D3/100)</f>
        <v>4631.4908458936261</v>
      </c>
      <c r="F3">
        <f t="shared" ref="F3:F66" si="1" xml:space="preserve"> C3 - E3</f>
        <v>0.19915410637349851</v>
      </c>
      <c r="G3" t="str">
        <f t="shared" ref="G3:G66" si="2">IF(C3&gt;=10, "&gt;= $10", "&lt; $10")</f>
        <v>&gt;= $10</v>
      </c>
    </row>
    <row r="4" spans="1:17" x14ac:dyDescent="0.3">
      <c r="A4" s="18" t="s">
        <v>21</v>
      </c>
      <c r="B4" s="19" t="s">
        <v>21</v>
      </c>
      <c r="C4" s="19">
        <v>3.02</v>
      </c>
      <c r="D4" s="19">
        <v>4.4999999999999997E-3</v>
      </c>
      <c r="E4">
        <f t="shared" si="0"/>
        <v>3.0198641061152247</v>
      </c>
      <c r="F4">
        <f t="shared" si="1"/>
        <v>1.3589388477530662E-4</v>
      </c>
      <c r="G4" t="str">
        <f t="shared" si="2"/>
        <v>&lt; $10</v>
      </c>
      <c r="J4" s="2" t="s">
        <v>1257</v>
      </c>
      <c r="K4" t="s">
        <v>1270</v>
      </c>
      <c r="L4" t="s">
        <v>1293</v>
      </c>
      <c r="M4" t="s">
        <v>1292</v>
      </c>
      <c r="O4" t="s">
        <v>0</v>
      </c>
      <c r="P4" t="s">
        <v>1294</v>
      </c>
      <c r="Q4" t="s">
        <v>1287</v>
      </c>
    </row>
    <row r="5" spans="1:17" x14ac:dyDescent="0.3">
      <c r="A5" s="20" t="s">
        <v>27</v>
      </c>
      <c r="B5" s="21" t="s">
        <v>28</v>
      </c>
      <c r="C5" s="21">
        <v>1</v>
      </c>
      <c r="D5" s="21">
        <v>6.9999999999999999E-4</v>
      </c>
      <c r="E5">
        <f t="shared" si="0"/>
        <v>0.9999930000489996</v>
      </c>
      <c r="F5">
        <f t="shared" si="1"/>
        <v>6.9999510003970755E-6</v>
      </c>
      <c r="G5" t="str">
        <f t="shared" si="2"/>
        <v>&lt; $10</v>
      </c>
      <c r="J5" s="3" t="s">
        <v>926</v>
      </c>
      <c r="K5" s="37">
        <v>9.06</v>
      </c>
      <c r="L5" s="37">
        <v>9.0589219882833945</v>
      </c>
      <c r="M5" s="37">
        <v>1.0780117166060421E-3</v>
      </c>
      <c r="O5" t="str">
        <f>J5</f>
        <v>Stonks</v>
      </c>
      <c r="P5">
        <f>K5</f>
        <v>9.06</v>
      </c>
      <c r="Q5">
        <f>L5</f>
        <v>9.0589219882833945</v>
      </c>
    </row>
    <row r="6" spans="1:17" x14ac:dyDescent="0.3">
      <c r="A6" s="18" t="s">
        <v>34</v>
      </c>
      <c r="B6" s="19" t="s">
        <v>34</v>
      </c>
      <c r="C6" s="19">
        <v>864.91</v>
      </c>
      <c r="D6" s="19">
        <v>2.3999999999999998E-3</v>
      </c>
      <c r="E6">
        <f t="shared" si="0"/>
        <v>864.88924265817616</v>
      </c>
      <c r="F6">
        <f t="shared" si="1"/>
        <v>2.0757341823809838E-2</v>
      </c>
      <c r="G6" t="str">
        <f t="shared" si="2"/>
        <v>&gt;= $10</v>
      </c>
      <c r="J6" s="3" t="s">
        <v>1097</v>
      </c>
      <c r="K6" s="37">
        <v>2.63</v>
      </c>
      <c r="L6" s="37">
        <v>2.6295634924602513</v>
      </c>
      <c r="M6" s="37">
        <v>4.3650753974855405E-4</v>
      </c>
      <c r="O6" t="str">
        <f t="shared" ref="O6:O14" si="3">J6</f>
        <v>Lumera Health</v>
      </c>
      <c r="P6">
        <f t="shared" ref="P6:P14" si="4">K6</f>
        <v>2.63</v>
      </c>
      <c r="Q6">
        <f t="shared" ref="Q6:Q14" si="5">L6</f>
        <v>2.6295634924602513</v>
      </c>
    </row>
    <row r="7" spans="1:17" x14ac:dyDescent="0.3">
      <c r="A7" s="20" t="s">
        <v>40</v>
      </c>
      <c r="B7" s="21" t="s">
        <v>41</v>
      </c>
      <c r="C7" s="21">
        <v>208.97</v>
      </c>
      <c r="D7" s="21">
        <v>7.7999999999999996E-3</v>
      </c>
      <c r="E7">
        <f t="shared" si="0"/>
        <v>208.95370161127431</v>
      </c>
      <c r="F7">
        <f t="shared" si="1"/>
        <v>1.6298388725687118E-2</v>
      </c>
      <c r="G7" t="str">
        <f t="shared" si="2"/>
        <v>&gt;= $10</v>
      </c>
      <c r="J7" s="3" t="s">
        <v>148</v>
      </c>
      <c r="K7" s="37">
        <v>5.48</v>
      </c>
      <c r="L7" s="37">
        <v>5.4797424521047517</v>
      </c>
      <c r="M7" s="37">
        <v>2.5754789524867761E-4</v>
      </c>
      <c r="O7" t="str">
        <f t="shared" si="3"/>
        <v>Jupiter Perps LP</v>
      </c>
      <c r="P7">
        <f t="shared" si="4"/>
        <v>5.48</v>
      </c>
      <c r="Q7">
        <f t="shared" si="5"/>
        <v>5.4797424521047517</v>
      </c>
    </row>
    <row r="8" spans="1:17" x14ac:dyDescent="0.3">
      <c r="A8" s="18" t="s">
        <v>47</v>
      </c>
      <c r="B8" s="19" t="s">
        <v>47</v>
      </c>
      <c r="C8" s="19">
        <v>0.99970000000000003</v>
      </c>
      <c r="D8" s="19">
        <v>5.9999999999999995E-4</v>
      </c>
      <c r="E8">
        <f t="shared" si="0"/>
        <v>0.99969400183598911</v>
      </c>
      <c r="F8">
        <f t="shared" si="1"/>
        <v>5.9981640109230128E-6</v>
      </c>
      <c r="G8" t="str">
        <f t="shared" si="2"/>
        <v>&lt; $10</v>
      </c>
      <c r="J8" s="3" t="s">
        <v>114</v>
      </c>
      <c r="K8" s="37">
        <v>7.42</v>
      </c>
      <c r="L8" s="37">
        <v>7.4197774066777997</v>
      </c>
      <c r="M8" s="37">
        <v>2.2259332220020411E-4</v>
      </c>
      <c r="O8" t="str">
        <f t="shared" si="3"/>
        <v>DeXe</v>
      </c>
      <c r="P8">
        <f t="shared" si="4"/>
        <v>7.42</v>
      </c>
      <c r="Q8">
        <f t="shared" si="5"/>
        <v>7.4197774066777997</v>
      </c>
    </row>
    <row r="9" spans="1:17" x14ac:dyDescent="0.3">
      <c r="A9" s="20" t="s">
        <v>53</v>
      </c>
      <c r="B9" s="21" t="s">
        <v>54</v>
      </c>
      <c r="C9" s="21">
        <v>0.22170000000000001</v>
      </c>
      <c r="D9" s="21">
        <v>6.7000000000000002E-3</v>
      </c>
      <c r="E9">
        <f t="shared" si="0"/>
        <v>0.22168514709514461</v>
      </c>
      <c r="F9">
        <f t="shared" si="1"/>
        <v>1.48529048553947E-5</v>
      </c>
      <c r="G9" t="str">
        <f t="shared" si="2"/>
        <v>&lt; $10</v>
      </c>
      <c r="J9" s="3" t="s">
        <v>21</v>
      </c>
      <c r="K9" s="37">
        <v>3.02</v>
      </c>
      <c r="L9" s="37">
        <v>3.0198641061152247</v>
      </c>
      <c r="M9" s="37">
        <v>1.3589388477530662E-4</v>
      </c>
      <c r="O9" t="str">
        <f t="shared" si="3"/>
        <v>XRP</v>
      </c>
      <c r="P9">
        <f t="shared" si="4"/>
        <v>3.02</v>
      </c>
      <c r="Q9">
        <f t="shared" si="5"/>
        <v>3.0198641061152247</v>
      </c>
    </row>
    <row r="10" spans="1:17" x14ac:dyDescent="0.3">
      <c r="A10" s="18" t="s">
        <v>60</v>
      </c>
      <c r="B10" s="19" t="s">
        <v>61</v>
      </c>
      <c r="C10" s="19">
        <v>0.35020000000000001</v>
      </c>
      <c r="D10" s="19">
        <v>1E-3</v>
      </c>
      <c r="E10">
        <f t="shared" si="0"/>
        <v>0.35019649803501962</v>
      </c>
      <c r="F10">
        <f t="shared" si="1"/>
        <v>3.5019649803902375E-6</v>
      </c>
      <c r="G10" t="str">
        <f t="shared" si="2"/>
        <v>&lt; $10</v>
      </c>
      <c r="J10" s="3" t="s">
        <v>262</v>
      </c>
      <c r="K10" s="37">
        <v>4.24</v>
      </c>
      <c r="L10" s="37">
        <v>4.2399194415306107</v>
      </c>
      <c r="M10" s="37">
        <v>8.0558469389480081E-5</v>
      </c>
      <c r="O10" t="str">
        <f t="shared" si="3"/>
        <v>Vana</v>
      </c>
      <c r="P10">
        <f t="shared" si="4"/>
        <v>4.24</v>
      </c>
      <c r="Q10">
        <f t="shared" si="5"/>
        <v>4.2399194415306107</v>
      </c>
    </row>
    <row r="11" spans="1:17" x14ac:dyDescent="0.3">
      <c r="A11" s="20" t="s">
        <v>67</v>
      </c>
      <c r="B11" s="21" t="s">
        <v>68</v>
      </c>
      <c r="C11" s="21">
        <v>0.86929999999999996</v>
      </c>
      <c r="D11" s="21">
        <v>3.2000000000000002E-3</v>
      </c>
      <c r="E11">
        <f t="shared" si="0"/>
        <v>0.86927218329013467</v>
      </c>
      <c r="F11">
        <f t="shared" si="1"/>
        <v>2.78167098652915E-5</v>
      </c>
      <c r="G11" t="str">
        <f t="shared" si="2"/>
        <v>&lt; $10</v>
      </c>
      <c r="J11" s="3" t="s">
        <v>391</v>
      </c>
      <c r="K11" s="37">
        <v>2.17</v>
      </c>
      <c r="L11" s="37">
        <v>2.1699327320853055</v>
      </c>
      <c r="M11" s="37">
        <v>6.72679146944688E-5</v>
      </c>
      <c r="O11" t="str">
        <f t="shared" si="3"/>
        <v>Gains Network</v>
      </c>
      <c r="P11">
        <f t="shared" si="4"/>
        <v>2.17</v>
      </c>
      <c r="Q11">
        <f t="shared" si="5"/>
        <v>2.1699327320853055</v>
      </c>
    </row>
    <row r="12" spans="1:17" x14ac:dyDescent="0.3">
      <c r="A12" s="18" t="s">
        <v>74</v>
      </c>
      <c r="B12" s="19" t="s">
        <v>75</v>
      </c>
      <c r="C12" s="19">
        <v>0.99950000000000006</v>
      </c>
      <c r="D12" s="19">
        <v>1E-4</v>
      </c>
      <c r="E12">
        <f t="shared" si="0"/>
        <v>0.9994990005009996</v>
      </c>
      <c r="F12">
        <f t="shared" si="1"/>
        <v>9.9949900045359641E-7</v>
      </c>
      <c r="G12" t="str">
        <f t="shared" si="2"/>
        <v>&lt; $10</v>
      </c>
      <c r="J12" s="3" t="s">
        <v>288</v>
      </c>
      <c r="K12" s="37">
        <v>2.88</v>
      </c>
      <c r="L12" s="37">
        <v>2.8799625604867134</v>
      </c>
      <c r="M12" s="37">
        <v>3.7439513286496862E-5</v>
      </c>
      <c r="O12" t="str">
        <f t="shared" si="3"/>
        <v>BIM</v>
      </c>
      <c r="P12">
        <f t="shared" si="4"/>
        <v>2.88</v>
      </c>
      <c r="Q12">
        <f t="shared" si="5"/>
        <v>2.8799625604867134</v>
      </c>
    </row>
    <row r="13" spans="1:17" x14ac:dyDescent="0.3">
      <c r="A13" s="20" t="s">
        <v>81</v>
      </c>
      <c r="B13" s="21" t="s">
        <v>82</v>
      </c>
      <c r="C13" s="21">
        <v>42.45</v>
      </c>
      <c r="D13" s="21">
        <v>8.0000000000000002E-3</v>
      </c>
      <c r="E13">
        <f t="shared" si="0"/>
        <v>42.446604271658266</v>
      </c>
      <c r="F13">
        <f t="shared" si="1"/>
        <v>3.3957283417365147E-3</v>
      </c>
      <c r="G13" t="str">
        <f t="shared" si="2"/>
        <v>&gt;= $10</v>
      </c>
      <c r="J13" s="3" t="s">
        <v>777</v>
      </c>
      <c r="K13" s="37">
        <v>3.38</v>
      </c>
      <c r="L13" s="37">
        <v>3.3799695802737775</v>
      </c>
      <c r="M13" s="37">
        <v>3.0419726222419285E-5</v>
      </c>
      <c r="O13" t="str">
        <f t="shared" si="3"/>
        <v>Counterparty</v>
      </c>
      <c r="P13">
        <f t="shared" si="4"/>
        <v>3.38</v>
      </c>
      <c r="Q13">
        <f t="shared" si="5"/>
        <v>3.3799695802737775</v>
      </c>
    </row>
    <row r="14" spans="1:17" x14ac:dyDescent="0.3">
      <c r="A14" s="18" t="s">
        <v>88</v>
      </c>
      <c r="B14" s="19" t="s">
        <v>88</v>
      </c>
      <c r="C14" s="19">
        <v>9.1999999999999998E-3</v>
      </c>
      <c r="D14" s="19">
        <v>3.0000000000000001E-3</v>
      </c>
      <c r="E14">
        <f t="shared" si="0"/>
        <v>9.1997240082797513E-3</v>
      </c>
      <c r="F14">
        <f t="shared" si="1"/>
        <v>2.7599172024855845E-7</v>
      </c>
      <c r="G14" t="str">
        <f t="shared" si="2"/>
        <v>&lt; $10</v>
      </c>
      <c r="J14" s="3" t="s">
        <v>141</v>
      </c>
      <c r="K14" s="37">
        <v>4.54</v>
      </c>
      <c r="L14" s="37">
        <v>4.5399818400726399</v>
      </c>
      <c r="M14" s="37">
        <v>1.8159927360095196E-5</v>
      </c>
      <c r="O14" t="str">
        <f t="shared" si="3"/>
        <v>Fasttoken</v>
      </c>
      <c r="P14">
        <f t="shared" si="4"/>
        <v>4.54</v>
      </c>
      <c r="Q14">
        <f t="shared" si="5"/>
        <v>4.5399818400726399</v>
      </c>
    </row>
    <row r="15" spans="1:17" x14ac:dyDescent="0.3">
      <c r="A15" s="20" t="s">
        <v>94</v>
      </c>
      <c r="B15" s="21" t="s">
        <v>95</v>
      </c>
      <c r="C15" s="21">
        <v>0.1171</v>
      </c>
      <c r="D15" s="21">
        <v>5.1999999999999998E-3</v>
      </c>
      <c r="E15">
        <f t="shared" si="0"/>
        <v>0.11709391111662194</v>
      </c>
      <c r="F15">
        <f t="shared" si="1"/>
        <v>6.0888833780525786E-6</v>
      </c>
      <c r="G15" t="str">
        <f t="shared" si="2"/>
        <v>&lt; $10</v>
      </c>
    </row>
    <row r="16" spans="1:17" x14ac:dyDescent="0.3">
      <c r="A16" s="18" t="s">
        <v>101</v>
      </c>
      <c r="B16" s="19" t="s">
        <v>102</v>
      </c>
      <c r="C16" s="19">
        <v>6.6699999999999995E-2</v>
      </c>
      <c r="D16" s="19">
        <v>5.9999999999999995E-4</v>
      </c>
      <c r="E16">
        <f t="shared" si="0"/>
        <v>6.6699599802401185E-2</v>
      </c>
      <c r="F16">
        <f t="shared" si="1"/>
        <v>4.0019759880993711E-7</v>
      </c>
      <c r="G16" t="str">
        <f t="shared" si="2"/>
        <v>&lt; $10</v>
      </c>
    </row>
    <row r="17" spans="1:10" x14ac:dyDescent="0.3">
      <c r="A17" s="20" t="s">
        <v>107</v>
      </c>
      <c r="B17" s="21" t="s">
        <v>108</v>
      </c>
      <c r="C17" s="21">
        <v>0.39090000000000003</v>
      </c>
      <c r="D17" s="21">
        <v>1.5E-3</v>
      </c>
      <c r="E17">
        <f t="shared" si="0"/>
        <v>0.39089413658795119</v>
      </c>
      <c r="F17">
        <f t="shared" si="1"/>
        <v>5.8634120488343378E-6</v>
      </c>
      <c r="G17" t="str">
        <f t="shared" si="2"/>
        <v>&lt; $10</v>
      </c>
      <c r="J17" s="3"/>
    </row>
    <row r="18" spans="1:10" x14ac:dyDescent="0.3">
      <c r="A18" s="18" t="s">
        <v>114</v>
      </c>
      <c r="B18" s="19" t="s">
        <v>115</v>
      </c>
      <c r="C18" s="19">
        <v>7.42</v>
      </c>
      <c r="D18" s="19">
        <v>3.0000000000000001E-3</v>
      </c>
      <c r="E18">
        <f t="shared" si="0"/>
        <v>7.4197774066777997</v>
      </c>
      <c r="F18">
        <f t="shared" si="1"/>
        <v>2.2259332220020411E-4</v>
      </c>
      <c r="G18" t="str">
        <f t="shared" si="2"/>
        <v>&lt; $10</v>
      </c>
    </row>
    <row r="19" spans="1:10" x14ac:dyDescent="0.3">
      <c r="A19" s="20" t="s">
        <v>120</v>
      </c>
      <c r="B19" s="21" t="s">
        <v>121</v>
      </c>
      <c r="C19" s="21">
        <v>0.57740000000000002</v>
      </c>
      <c r="D19" s="21">
        <v>1.1000000000000001E-3</v>
      </c>
      <c r="E19">
        <f t="shared" si="0"/>
        <v>0.57739364866986465</v>
      </c>
      <c r="F19">
        <f t="shared" si="1"/>
        <v>6.3513301353790297E-6</v>
      </c>
      <c r="G19" t="str">
        <f t="shared" si="2"/>
        <v>&lt; $10</v>
      </c>
    </row>
    <row r="20" spans="1:10" x14ac:dyDescent="0.3">
      <c r="A20" s="18" t="s">
        <v>127</v>
      </c>
      <c r="B20" s="19" t="s">
        <v>128</v>
      </c>
      <c r="C20" s="19">
        <v>0.40489999999999998</v>
      </c>
      <c r="D20" s="19">
        <v>3.3E-3</v>
      </c>
      <c r="E20">
        <f t="shared" si="0"/>
        <v>0.40488663874092157</v>
      </c>
      <c r="F20">
        <f t="shared" si="1"/>
        <v>1.33612590784149E-5</v>
      </c>
      <c r="G20" t="str">
        <f t="shared" si="2"/>
        <v>&lt; $10</v>
      </c>
    </row>
    <row r="21" spans="1:10" x14ac:dyDescent="0.3">
      <c r="A21" s="20" t="s">
        <v>134</v>
      </c>
      <c r="B21" s="21" t="s">
        <v>135</v>
      </c>
      <c r="C21" s="21">
        <v>0.28820000000000001</v>
      </c>
      <c r="D21" s="21">
        <v>3.8999999999999998E-3</v>
      </c>
      <c r="E21">
        <f t="shared" si="0"/>
        <v>0.28818876063833515</v>
      </c>
      <c r="F21">
        <f t="shared" si="1"/>
        <v>1.1239361664860947E-5</v>
      </c>
      <c r="G21" t="str">
        <f t="shared" si="2"/>
        <v>&lt; $10</v>
      </c>
    </row>
    <row r="22" spans="1:10" x14ac:dyDescent="0.3">
      <c r="A22" s="18" t="s">
        <v>141</v>
      </c>
      <c r="B22" s="19" t="s">
        <v>142</v>
      </c>
      <c r="C22" s="19">
        <v>4.54</v>
      </c>
      <c r="D22" s="19">
        <v>4.0000000000000002E-4</v>
      </c>
      <c r="E22">
        <f t="shared" si="0"/>
        <v>4.5399818400726399</v>
      </c>
      <c r="F22">
        <f t="shared" si="1"/>
        <v>1.8159927360095196E-5</v>
      </c>
      <c r="G22" t="str">
        <f t="shared" si="2"/>
        <v>&lt; $10</v>
      </c>
    </row>
    <row r="23" spans="1:10" x14ac:dyDescent="0.3">
      <c r="A23" s="20" t="s">
        <v>148</v>
      </c>
      <c r="B23" s="21" t="s">
        <v>149</v>
      </c>
      <c r="C23" s="21">
        <v>5.48</v>
      </c>
      <c r="D23" s="21">
        <v>4.7000000000000002E-3</v>
      </c>
      <c r="E23">
        <f t="shared" si="0"/>
        <v>5.4797424521047517</v>
      </c>
      <c r="F23">
        <f t="shared" si="1"/>
        <v>2.5754789524867761E-4</v>
      </c>
      <c r="G23" t="str">
        <f t="shared" si="2"/>
        <v>&lt; $10</v>
      </c>
    </row>
    <row r="24" spans="1:10" x14ac:dyDescent="0.3">
      <c r="A24" s="18" t="s">
        <v>155</v>
      </c>
      <c r="B24" s="19" t="s">
        <v>156</v>
      </c>
      <c r="C24" s="19">
        <v>1</v>
      </c>
      <c r="D24" s="19">
        <v>2.0000000000000001E-4</v>
      </c>
      <c r="E24">
        <f t="shared" si="0"/>
        <v>0.99999800000399997</v>
      </c>
      <c r="F24">
        <f t="shared" si="1"/>
        <v>1.9999960000349759E-6</v>
      </c>
      <c r="G24" t="str">
        <f t="shared" si="2"/>
        <v>&lt; $10</v>
      </c>
    </row>
    <row r="25" spans="1:10" x14ac:dyDescent="0.3">
      <c r="A25" s="20" t="s">
        <v>161</v>
      </c>
      <c r="B25" s="21" t="s">
        <v>162</v>
      </c>
      <c r="C25" s="21">
        <v>2.4E-2</v>
      </c>
      <c r="D25" s="21">
        <v>2.2000000000000001E-3</v>
      </c>
      <c r="E25">
        <f t="shared" si="0"/>
        <v>2.3999472011615747E-2</v>
      </c>
      <c r="F25">
        <f t="shared" si="1"/>
        <v>5.2798838425308081E-7</v>
      </c>
      <c r="G25" t="str">
        <f t="shared" si="2"/>
        <v>&lt; $10</v>
      </c>
    </row>
    <row r="26" spans="1:10" x14ac:dyDescent="0.3">
      <c r="A26" s="18" t="s">
        <v>168</v>
      </c>
      <c r="B26" s="19" t="s">
        <v>169</v>
      </c>
      <c r="C26" s="19">
        <v>1.1000000000000001</v>
      </c>
      <c r="D26" s="19">
        <v>1.1000000000000001E-3</v>
      </c>
      <c r="E26">
        <f t="shared" si="0"/>
        <v>1.0999879001330986</v>
      </c>
      <c r="F26">
        <f t="shared" si="1"/>
        <v>1.2099866901538192E-5</v>
      </c>
      <c r="G26" t="str">
        <f t="shared" si="2"/>
        <v>&lt; $10</v>
      </c>
    </row>
    <row r="27" spans="1:10" x14ac:dyDescent="0.3">
      <c r="A27" s="20" t="s">
        <v>174</v>
      </c>
      <c r="B27" s="21" t="s">
        <v>175</v>
      </c>
      <c r="C27" s="21">
        <v>0.99829999999999997</v>
      </c>
      <c r="D27" s="21">
        <v>0</v>
      </c>
      <c r="E27">
        <f t="shared" si="0"/>
        <v>0.99829999999999997</v>
      </c>
      <c r="F27">
        <f t="shared" si="1"/>
        <v>0</v>
      </c>
      <c r="G27" t="str">
        <f t="shared" si="2"/>
        <v>&lt; $10</v>
      </c>
    </row>
    <row r="28" spans="1:10" x14ac:dyDescent="0.3">
      <c r="A28" s="18" t="s">
        <v>181</v>
      </c>
      <c r="B28" s="19" t="s">
        <v>182</v>
      </c>
      <c r="C28" s="19">
        <v>0.17449999999999999</v>
      </c>
      <c r="D28" s="19">
        <v>5.8999999999999999E-3</v>
      </c>
      <c r="E28">
        <f t="shared" si="0"/>
        <v>0.17448970510739864</v>
      </c>
      <c r="F28">
        <f t="shared" si="1"/>
        <v>1.0294892601347971E-5</v>
      </c>
      <c r="G28" t="str">
        <f t="shared" si="2"/>
        <v>&lt; $10</v>
      </c>
    </row>
    <row r="29" spans="1:10" x14ac:dyDescent="0.3">
      <c r="A29" s="20" t="s">
        <v>188</v>
      </c>
      <c r="B29" s="21" t="s">
        <v>189</v>
      </c>
      <c r="C29" s="21">
        <v>7.6300000000000007E-2</v>
      </c>
      <c r="D29" s="21">
        <v>2.3E-3</v>
      </c>
      <c r="E29">
        <f t="shared" si="0"/>
        <v>7.6298245140361765E-2</v>
      </c>
      <c r="F29">
        <f t="shared" si="1"/>
        <v>1.7548596382421788E-6</v>
      </c>
      <c r="G29" t="str">
        <f t="shared" si="2"/>
        <v>&lt; $10</v>
      </c>
    </row>
    <row r="30" spans="1:10" x14ac:dyDescent="0.3">
      <c r="A30" s="18" t="s">
        <v>195</v>
      </c>
      <c r="B30" s="19" t="s">
        <v>196</v>
      </c>
      <c r="C30" s="19">
        <v>0.99980000000000002</v>
      </c>
      <c r="D30" s="19">
        <v>2.9999999999999997E-4</v>
      </c>
      <c r="E30">
        <f t="shared" si="0"/>
        <v>0.99979700060899823</v>
      </c>
      <c r="F30">
        <f t="shared" si="1"/>
        <v>2.9993910017900305E-6</v>
      </c>
      <c r="G30" t="str">
        <f t="shared" si="2"/>
        <v>&lt; $10</v>
      </c>
    </row>
    <row r="31" spans="1:10" x14ac:dyDescent="0.3">
      <c r="A31" s="20" t="s">
        <v>202</v>
      </c>
      <c r="B31" s="21" t="s">
        <v>203</v>
      </c>
      <c r="C31" s="21">
        <v>1.94</v>
      </c>
      <c r="D31" s="21">
        <v>1.6000000000000001E-3</v>
      </c>
      <c r="E31">
        <f t="shared" si="0"/>
        <v>1.9399689604966319</v>
      </c>
      <c r="F31">
        <f t="shared" si="1"/>
        <v>3.1039503368024413E-5</v>
      </c>
      <c r="G31" t="str">
        <f t="shared" si="2"/>
        <v>&lt; $10</v>
      </c>
    </row>
    <row r="32" spans="1:10" x14ac:dyDescent="0.3">
      <c r="A32" s="18" t="s">
        <v>209</v>
      </c>
      <c r="B32" s="19" t="s">
        <v>209</v>
      </c>
      <c r="C32" s="19">
        <v>7.1400000000000005E-2</v>
      </c>
      <c r="D32" s="19">
        <v>4.0000000000000002E-4</v>
      </c>
      <c r="E32">
        <f t="shared" si="0"/>
        <v>7.1399714401142414E-2</v>
      </c>
      <c r="F32">
        <f t="shared" si="1"/>
        <v>2.8559885759116277E-7</v>
      </c>
      <c r="G32" t="str">
        <f t="shared" si="2"/>
        <v>&lt; $10</v>
      </c>
    </row>
    <row r="33" spans="1:7" x14ac:dyDescent="0.3">
      <c r="A33" s="20" t="s">
        <v>214</v>
      </c>
      <c r="B33" s="21" t="s">
        <v>215</v>
      </c>
      <c r="C33" s="21">
        <v>0.99950000000000006</v>
      </c>
      <c r="D33" s="21">
        <v>0</v>
      </c>
      <c r="E33">
        <f t="shared" si="0"/>
        <v>0.99950000000000006</v>
      </c>
      <c r="F33">
        <f t="shared" si="1"/>
        <v>0</v>
      </c>
      <c r="G33" t="str">
        <f t="shared" si="2"/>
        <v>&lt; $10</v>
      </c>
    </row>
    <row r="34" spans="1:7" x14ac:dyDescent="0.3">
      <c r="A34" s="18" t="s">
        <v>219</v>
      </c>
      <c r="B34" s="19" t="s">
        <v>220</v>
      </c>
      <c r="C34" s="19">
        <v>0.99960000000000004</v>
      </c>
      <c r="D34" s="19">
        <v>2.0000000000000001E-4</v>
      </c>
      <c r="E34">
        <f t="shared" si="0"/>
        <v>0.99959800080399841</v>
      </c>
      <c r="F34">
        <f t="shared" si="1"/>
        <v>1.9991960016341181E-6</v>
      </c>
      <c r="G34" t="str">
        <f t="shared" si="2"/>
        <v>&lt; $10</v>
      </c>
    </row>
    <row r="35" spans="1:7" x14ac:dyDescent="0.3">
      <c r="A35" s="20" t="s">
        <v>225</v>
      </c>
      <c r="B35" s="21" t="s">
        <v>226</v>
      </c>
      <c r="C35" s="21">
        <v>0.13320000000000001</v>
      </c>
      <c r="D35" s="21">
        <v>4.3E-3</v>
      </c>
      <c r="E35">
        <f t="shared" si="0"/>
        <v>0.13319427264627623</v>
      </c>
      <c r="F35">
        <f t="shared" si="1"/>
        <v>5.7273537237834127E-6</v>
      </c>
      <c r="G35" t="str">
        <f t="shared" si="2"/>
        <v>&lt; $10</v>
      </c>
    </row>
    <row r="36" spans="1:7" x14ac:dyDescent="0.3">
      <c r="A36" s="18" t="s">
        <v>231</v>
      </c>
      <c r="B36" s="19" t="s">
        <v>232</v>
      </c>
      <c r="C36" s="19">
        <v>0.27810000000000001</v>
      </c>
      <c r="D36" s="19">
        <v>1.3100000000000001E-2</v>
      </c>
      <c r="E36">
        <f t="shared" si="0"/>
        <v>0.27806357367184897</v>
      </c>
      <c r="F36">
        <f t="shared" si="1"/>
        <v>3.6426328151040188E-5</v>
      </c>
      <c r="G36" t="str">
        <f t="shared" si="2"/>
        <v>&lt; $10</v>
      </c>
    </row>
    <row r="37" spans="1:7" x14ac:dyDescent="0.3">
      <c r="A37" s="20" t="s">
        <v>238</v>
      </c>
      <c r="B37" s="21" t="s">
        <v>238</v>
      </c>
      <c r="C37" s="21">
        <v>0.99970000000000003</v>
      </c>
      <c r="D37" s="21">
        <v>1E-4</v>
      </c>
      <c r="E37">
        <f t="shared" si="0"/>
        <v>0.99969900030099978</v>
      </c>
      <c r="F37">
        <f t="shared" si="1"/>
        <v>9.9969900024809988E-7</v>
      </c>
      <c r="G37" t="str">
        <f t="shared" si="2"/>
        <v>&lt; $10</v>
      </c>
    </row>
    <row r="38" spans="1:7" x14ac:dyDescent="0.3">
      <c r="A38" s="18" t="s">
        <v>242</v>
      </c>
      <c r="B38" s="19" t="s">
        <v>243</v>
      </c>
      <c r="C38" s="19">
        <v>4.9599999999999998E-2</v>
      </c>
      <c r="D38" s="19">
        <v>5.0000000000000001E-3</v>
      </c>
      <c r="E38">
        <f t="shared" si="0"/>
        <v>4.9597520123993794E-2</v>
      </c>
      <c r="F38">
        <f t="shared" si="1"/>
        <v>2.4798760062047509E-6</v>
      </c>
      <c r="G38" t="str">
        <f t="shared" si="2"/>
        <v>&lt; $10</v>
      </c>
    </row>
    <row r="39" spans="1:7" x14ac:dyDescent="0.3">
      <c r="A39" s="20" t="s">
        <v>249</v>
      </c>
      <c r="B39" s="21" t="s">
        <v>250</v>
      </c>
      <c r="C39" s="21">
        <v>2.6700000000000002E-2</v>
      </c>
      <c r="D39" s="21">
        <v>5.0000000000000001E-4</v>
      </c>
      <c r="E39">
        <f t="shared" si="0"/>
        <v>2.6699866500667496E-2</v>
      </c>
      <c r="F39">
        <f t="shared" si="1"/>
        <v>1.3349933250528245E-7</v>
      </c>
      <c r="G39" t="str">
        <f t="shared" si="2"/>
        <v>&lt; $10</v>
      </c>
    </row>
    <row r="40" spans="1:7" x14ac:dyDescent="0.3">
      <c r="A40" s="18" t="s">
        <v>256</v>
      </c>
      <c r="B40" s="19" t="s">
        <v>257</v>
      </c>
      <c r="C40" s="19">
        <v>6.8099999999999994E-2</v>
      </c>
      <c r="D40" s="19">
        <v>4.3E-3</v>
      </c>
      <c r="E40">
        <f t="shared" si="0"/>
        <v>6.8097071825911473E-2</v>
      </c>
      <c r="F40">
        <f t="shared" si="1"/>
        <v>2.9281740885206409E-6</v>
      </c>
      <c r="G40" t="str">
        <f t="shared" si="2"/>
        <v>&lt; $10</v>
      </c>
    </row>
    <row r="41" spans="1:7" x14ac:dyDescent="0.3">
      <c r="A41" s="20" t="s">
        <v>262</v>
      </c>
      <c r="B41" s="21" t="s">
        <v>263</v>
      </c>
      <c r="C41" s="21">
        <v>4.24</v>
      </c>
      <c r="D41" s="21">
        <v>1.9E-3</v>
      </c>
      <c r="E41">
        <f t="shared" si="0"/>
        <v>4.2399194415306107</v>
      </c>
      <c r="F41">
        <f t="shared" si="1"/>
        <v>8.0558469389480081E-5</v>
      </c>
      <c r="G41" t="str">
        <f t="shared" si="2"/>
        <v>&lt; $10</v>
      </c>
    </row>
    <row r="42" spans="1:7" x14ac:dyDescent="0.3">
      <c r="A42" s="18" t="s">
        <v>269</v>
      </c>
      <c r="B42" s="19" t="s">
        <v>270</v>
      </c>
      <c r="C42" s="19">
        <v>0.43259999999999998</v>
      </c>
      <c r="D42" s="19">
        <v>1.32E-2</v>
      </c>
      <c r="E42">
        <f t="shared" si="0"/>
        <v>0.43254290433662756</v>
      </c>
      <c r="F42">
        <f t="shared" si="1"/>
        <v>5.7095663372419558E-5</v>
      </c>
      <c r="G42" t="str">
        <f t="shared" si="2"/>
        <v>&lt; $10</v>
      </c>
    </row>
    <row r="43" spans="1:7" x14ac:dyDescent="0.3">
      <c r="A43" s="20" t="s">
        <v>276</v>
      </c>
      <c r="B43" s="21" t="s">
        <v>277</v>
      </c>
      <c r="C43" s="21">
        <v>1.62</v>
      </c>
      <c r="D43" s="21">
        <v>1E-3</v>
      </c>
      <c r="E43">
        <f t="shared" si="0"/>
        <v>1.6199838001619984</v>
      </c>
      <c r="F43">
        <f t="shared" si="1"/>
        <v>1.6199838001718092E-5</v>
      </c>
      <c r="G43" t="str">
        <f t="shared" si="2"/>
        <v>&lt; $10</v>
      </c>
    </row>
    <row r="44" spans="1:7" x14ac:dyDescent="0.3">
      <c r="A44" s="18" t="s">
        <v>282</v>
      </c>
      <c r="B44" s="19" t="s">
        <v>283</v>
      </c>
      <c r="C44" s="19">
        <v>0.69950000000000001</v>
      </c>
      <c r="D44" s="19">
        <v>0</v>
      </c>
      <c r="E44">
        <f t="shared" si="0"/>
        <v>0.69950000000000001</v>
      </c>
      <c r="F44">
        <f t="shared" si="1"/>
        <v>0</v>
      </c>
      <c r="G44" t="str">
        <f t="shared" si="2"/>
        <v>&lt; $10</v>
      </c>
    </row>
    <row r="45" spans="1:7" x14ac:dyDescent="0.3">
      <c r="A45" s="20" t="s">
        <v>288</v>
      </c>
      <c r="B45" s="21" t="s">
        <v>288</v>
      </c>
      <c r="C45" s="21">
        <v>2.88</v>
      </c>
      <c r="D45" s="21">
        <v>1.2999999999999999E-3</v>
      </c>
      <c r="E45">
        <f t="shared" si="0"/>
        <v>2.8799625604867134</v>
      </c>
      <c r="F45">
        <f t="shared" si="1"/>
        <v>3.7439513286496862E-5</v>
      </c>
      <c r="G45" t="str">
        <f t="shared" si="2"/>
        <v>&lt; $10</v>
      </c>
    </row>
    <row r="46" spans="1:7" x14ac:dyDescent="0.3">
      <c r="A46" s="18" t="s">
        <v>294</v>
      </c>
      <c r="B46" s="19" t="s">
        <v>295</v>
      </c>
      <c r="C46" s="19">
        <v>8.6499999999999994E-2</v>
      </c>
      <c r="D46" s="19">
        <v>2.0000000000000001E-4</v>
      </c>
      <c r="E46">
        <f t="shared" si="0"/>
        <v>8.6499827000345988E-2</v>
      </c>
      <c r="F46">
        <f t="shared" si="1"/>
        <v>1.7299965400507933E-7</v>
      </c>
      <c r="G46" t="str">
        <f t="shared" si="2"/>
        <v>&lt; $10</v>
      </c>
    </row>
    <row r="47" spans="1:7" x14ac:dyDescent="0.3">
      <c r="A47" s="20" t="s">
        <v>300</v>
      </c>
      <c r="B47" s="21" t="s">
        <v>301</v>
      </c>
      <c r="C47" s="21">
        <v>6.4000000000000001E-2</v>
      </c>
      <c r="D47" s="21">
        <v>1.9E-3</v>
      </c>
      <c r="E47">
        <f t="shared" si="0"/>
        <v>6.3998784023103564E-2</v>
      </c>
      <c r="F47">
        <f t="shared" si="1"/>
        <v>1.2159768964375983E-6</v>
      </c>
      <c r="G47" t="str">
        <f t="shared" si="2"/>
        <v>&lt; $10</v>
      </c>
    </row>
    <row r="48" spans="1:7" x14ac:dyDescent="0.3">
      <c r="A48" s="18" t="s">
        <v>306</v>
      </c>
      <c r="B48" s="19" t="s">
        <v>307</v>
      </c>
      <c r="C48" s="19">
        <v>0.45040000000000002</v>
      </c>
      <c r="D48" s="19">
        <v>5.1999999999999998E-3</v>
      </c>
      <c r="E48">
        <f t="shared" si="0"/>
        <v>0.45037658041781831</v>
      </c>
      <c r="F48">
        <f t="shared" si="1"/>
        <v>2.3419582181716248E-5</v>
      </c>
      <c r="G48" t="str">
        <f t="shared" si="2"/>
        <v>&lt; $10</v>
      </c>
    </row>
    <row r="49" spans="1:7" x14ac:dyDescent="0.3">
      <c r="A49" s="20" t="s">
        <v>312</v>
      </c>
      <c r="B49" s="21" t="s">
        <v>313</v>
      </c>
      <c r="C49" s="21">
        <v>8.5699999999999998E-2</v>
      </c>
      <c r="D49" s="21">
        <v>8.8000000000000005E-3</v>
      </c>
      <c r="E49">
        <f t="shared" si="0"/>
        <v>8.56924590636024E-2</v>
      </c>
      <c r="F49">
        <f t="shared" si="1"/>
        <v>7.5409363975986743E-6</v>
      </c>
      <c r="G49" t="str">
        <f t="shared" si="2"/>
        <v>&lt; $10</v>
      </c>
    </row>
    <row r="50" spans="1:7" x14ac:dyDescent="0.3">
      <c r="A50" s="18" t="s">
        <v>319</v>
      </c>
      <c r="B50" s="19" t="s">
        <v>320</v>
      </c>
      <c r="C50" s="19">
        <v>8.5400000000000004E-2</v>
      </c>
      <c r="D50" s="19">
        <v>3.8E-3</v>
      </c>
      <c r="E50">
        <f t="shared" si="0"/>
        <v>8.5396754923312918E-2</v>
      </c>
      <c r="F50">
        <f t="shared" si="1"/>
        <v>3.2450766870861791E-6</v>
      </c>
      <c r="G50" t="str">
        <f t="shared" si="2"/>
        <v>&lt; $10</v>
      </c>
    </row>
    <row r="51" spans="1:7" x14ac:dyDescent="0.3">
      <c r="A51" s="20" t="s">
        <v>332</v>
      </c>
      <c r="B51" s="21" t="s">
        <v>333</v>
      </c>
      <c r="C51" s="21">
        <v>3.1399999999999997E-2</v>
      </c>
      <c r="D51" s="21">
        <v>7.7000000000000002E-3</v>
      </c>
      <c r="E51">
        <f t="shared" si="0"/>
        <v>3.139758238615626E-2</v>
      </c>
      <c r="F51">
        <f t="shared" si="1"/>
        <v>2.4176138437373429E-6</v>
      </c>
      <c r="G51" t="str">
        <f t="shared" si="2"/>
        <v>&lt; $10</v>
      </c>
    </row>
    <row r="52" spans="1:7" x14ac:dyDescent="0.3">
      <c r="A52" s="18" t="s">
        <v>339</v>
      </c>
      <c r="B52" s="19" t="s">
        <v>340</v>
      </c>
      <c r="C52" s="19">
        <v>0.72919999999999996</v>
      </c>
      <c r="D52" s="19">
        <v>8.9999999999999998E-4</v>
      </c>
      <c r="E52">
        <f t="shared" si="0"/>
        <v>0.72919343725906471</v>
      </c>
      <c r="F52">
        <f t="shared" si="1"/>
        <v>6.562740935245337E-6</v>
      </c>
      <c r="G52" t="str">
        <f t="shared" si="2"/>
        <v>&lt; $10</v>
      </c>
    </row>
    <row r="53" spans="1:7" x14ac:dyDescent="0.3">
      <c r="A53" s="20" t="s">
        <v>346</v>
      </c>
      <c r="B53" s="21" t="s">
        <v>347</v>
      </c>
      <c r="C53" s="21">
        <v>8.0000000000000002E-3</v>
      </c>
      <c r="D53" s="21">
        <v>5.1999999999999998E-3</v>
      </c>
      <c r="E53">
        <f t="shared" si="0"/>
        <v>7.9995840216308765E-3</v>
      </c>
      <c r="F53">
        <f t="shared" si="1"/>
        <v>4.1597836912370123E-7</v>
      </c>
      <c r="G53" t="str">
        <f t="shared" si="2"/>
        <v>&lt; $10</v>
      </c>
    </row>
    <row r="54" spans="1:7" x14ac:dyDescent="0.3">
      <c r="A54" s="18" t="s">
        <v>352</v>
      </c>
      <c r="B54" s="19" t="s">
        <v>353</v>
      </c>
      <c r="C54" s="19">
        <v>7.9799999999999996E-2</v>
      </c>
      <c r="D54" s="19">
        <v>6.9999999999999999E-4</v>
      </c>
      <c r="E54">
        <f t="shared" si="0"/>
        <v>7.9799441403910168E-2</v>
      </c>
      <c r="F54">
        <f t="shared" si="1"/>
        <v>5.5859608982800069E-7</v>
      </c>
      <c r="G54" t="str">
        <f t="shared" si="2"/>
        <v>&lt; $10</v>
      </c>
    </row>
    <row r="55" spans="1:7" x14ac:dyDescent="0.3">
      <c r="A55" s="20" t="s">
        <v>358</v>
      </c>
      <c r="B55" s="21" t="s">
        <v>359</v>
      </c>
      <c r="C55" s="21">
        <v>2.8999999999999998E-3</v>
      </c>
      <c r="D55" s="21">
        <v>8.0000000000000004E-4</v>
      </c>
      <c r="E55">
        <f t="shared" si="0"/>
        <v>2.8999768001855982E-3</v>
      </c>
      <c r="F55">
        <f t="shared" si="1"/>
        <v>2.3199814401606705E-8</v>
      </c>
      <c r="G55" t="str">
        <f t="shared" si="2"/>
        <v>&lt; $10</v>
      </c>
    </row>
    <row r="56" spans="1:7" x14ac:dyDescent="0.3">
      <c r="A56" s="18" t="s">
        <v>365</v>
      </c>
      <c r="B56" s="19" t="s">
        <v>366</v>
      </c>
      <c r="C56" s="19">
        <v>11.79</v>
      </c>
      <c r="D56" s="19">
        <v>2.3999999999999998E-3</v>
      </c>
      <c r="E56">
        <f t="shared" si="0"/>
        <v>11.789717046790877</v>
      </c>
      <c r="F56">
        <f t="shared" si="1"/>
        <v>2.8295320912263833E-4</v>
      </c>
      <c r="G56" t="str">
        <f t="shared" si="2"/>
        <v>&gt;= $10</v>
      </c>
    </row>
    <row r="57" spans="1:7" x14ac:dyDescent="0.3">
      <c r="A57" s="20" t="s">
        <v>371</v>
      </c>
      <c r="B57" s="21" t="s">
        <v>372</v>
      </c>
      <c r="C57" s="21">
        <v>0.18160000000000001</v>
      </c>
      <c r="D57" s="21">
        <v>2.0999999999999999E-3</v>
      </c>
      <c r="E57">
        <f t="shared" si="0"/>
        <v>0.18159618648008391</v>
      </c>
      <c r="F57">
        <f t="shared" si="1"/>
        <v>3.8135199161015709E-6</v>
      </c>
      <c r="G57" t="str">
        <f t="shared" si="2"/>
        <v>&lt; $10</v>
      </c>
    </row>
    <row r="58" spans="1:7" x14ac:dyDescent="0.3">
      <c r="A58" s="18" t="s">
        <v>378</v>
      </c>
      <c r="B58" s="19" t="s">
        <v>379</v>
      </c>
      <c r="C58" s="19">
        <v>10.119999999999999</v>
      </c>
      <c r="D58" s="19">
        <v>2.0999999999999999E-3</v>
      </c>
      <c r="E58">
        <f t="shared" si="0"/>
        <v>10.119787484462824</v>
      </c>
      <c r="F58">
        <f t="shared" si="1"/>
        <v>2.1251553717505089E-4</v>
      </c>
      <c r="G58" t="str">
        <f t="shared" si="2"/>
        <v>&gt;= $10</v>
      </c>
    </row>
    <row r="59" spans="1:7" x14ac:dyDescent="0.3">
      <c r="A59" s="20" t="s">
        <v>384</v>
      </c>
      <c r="B59" s="21" t="s">
        <v>385</v>
      </c>
      <c r="C59" s="21">
        <v>5.1999999999999998E-3</v>
      </c>
      <c r="D59" s="21">
        <v>1.4E-3</v>
      </c>
      <c r="E59">
        <f t="shared" si="0"/>
        <v>5.1999272010191857E-3</v>
      </c>
      <c r="F59">
        <f t="shared" si="1"/>
        <v>7.2798980814067771E-8</v>
      </c>
      <c r="G59" t="str">
        <f t="shared" si="2"/>
        <v>&lt; $10</v>
      </c>
    </row>
    <row r="60" spans="1:7" x14ac:dyDescent="0.3">
      <c r="A60" s="18" t="s">
        <v>391</v>
      </c>
      <c r="B60" s="19" t="s">
        <v>392</v>
      </c>
      <c r="C60" s="19">
        <v>2.17</v>
      </c>
      <c r="D60" s="19">
        <v>3.0999999999999999E-3</v>
      </c>
      <c r="E60">
        <f t="shared" si="0"/>
        <v>2.1699327320853055</v>
      </c>
      <c r="F60">
        <f t="shared" si="1"/>
        <v>6.72679146944688E-5</v>
      </c>
      <c r="G60" t="str">
        <f t="shared" si="2"/>
        <v>&lt; $10</v>
      </c>
    </row>
    <row r="61" spans="1:7" x14ac:dyDescent="0.3">
      <c r="A61" s="20" t="s">
        <v>398</v>
      </c>
      <c r="B61" s="21" t="s">
        <v>399</v>
      </c>
      <c r="C61" s="21">
        <v>0.67269999999999996</v>
      </c>
      <c r="D61" s="21">
        <v>1.2999999999999999E-2</v>
      </c>
      <c r="E61">
        <f t="shared" si="0"/>
        <v>0.67261256036715222</v>
      </c>
      <c r="F61">
        <f t="shared" si="1"/>
        <v>8.7439632847741144E-5</v>
      </c>
      <c r="G61" t="str">
        <f t="shared" si="2"/>
        <v>&lt; $10</v>
      </c>
    </row>
    <row r="62" spans="1:7" x14ac:dyDescent="0.3">
      <c r="A62" s="18" t="s">
        <v>1</v>
      </c>
      <c r="B62" s="19" t="s">
        <v>405</v>
      </c>
      <c r="C62" s="19">
        <v>7.4000000000000003E-3</v>
      </c>
      <c r="D62" s="19">
        <v>0</v>
      </c>
      <c r="E62">
        <f t="shared" si="0"/>
        <v>7.4000000000000003E-3</v>
      </c>
      <c r="F62">
        <f t="shared" si="1"/>
        <v>0</v>
      </c>
      <c r="G62" t="str">
        <f t="shared" si="2"/>
        <v>&lt; $10</v>
      </c>
    </row>
    <row r="63" spans="1:7" x14ac:dyDescent="0.3">
      <c r="A63" s="20" t="s">
        <v>410</v>
      </c>
      <c r="B63" s="21" t="s">
        <v>411</v>
      </c>
      <c r="C63" s="21">
        <v>2.3599999999999999E-2</v>
      </c>
      <c r="D63" s="21">
        <v>1.6000000000000001E-3</v>
      </c>
      <c r="E63">
        <f t="shared" si="0"/>
        <v>2.3599622406041503E-2</v>
      </c>
      <c r="F63">
        <f t="shared" si="1"/>
        <v>3.7759395849629174E-7</v>
      </c>
      <c r="G63" t="str">
        <f t="shared" si="2"/>
        <v>&lt; $10</v>
      </c>
    </row>
    <row r="64" spans="1:7" x14ac:dyDescent="0.3">
      <c r="A64" s="18" t="s">
        <v>416</v>
      </c>
      <c r="B64" s="19" t="s">
        <v>417</v>
      </c>
      <c r="C64" s="19">
        <v>6.7400000000000002E-2</v>
      </c>
      <c r="D64" s="19">
        <v>1.1900000000000001E-2</v>
      </c>
      <c r="E64">
        <f t="shared" si="0"/>
        <v>6.7391980354337841E-2</v>
      </c>
      <c r="F64">
        <f t="shared" si="1"/>
        <v>8.0196456621606238E-6</v>
      </c>
      <c r="G64" t="str">
        <f t="shared" si="2"/>
        <v>&lt; $10</v>
      </c>
    </row>
    <row r="65" spans="1:7" x14ac:dyDescent="0.3">
      <c r="A65" s="20" t="s">
        <v>423</v>
      </c>
      <c r="B65" s="21" t="s">
        <v>424</v>
      </c>
      <c r="C65" s="21">
        <v>0.2525</v>
      </c>
      <c r="D65" s="21">
        <v>2.3999999999999998E-3</v>
      </c>
      <c r="E65">
        <f t="shared" si="0"/>
        <v>0.25249394014543652</v>
      </c>
      <c r="F65">
        <f t="shared" si="1"/>
        <v>6.0598545634782397E-6</v>
      </c>
      <c r="G65" t="str">
        <f t="shared" si="2"/>
        <v>&lt; $10</v>
      </c>
    </row>
    <row r="66" spans="1:7" x14ac:dyDescent="0.3">
      <c r="A66" s="18" t="s">
        <v>429</v>
      </c>
      <c r="B66" s="19" t="s">
        <v>430</v>
      </c>
      <c r="C66" s="19">
        <v>1.24E-2</v>
      </c>
      <c r="D66" s="19">
        <v>5.8999999999999999E-3</v>
      </c>
      <c r="E66">
        <f t="shared" si="0"/>
        <v>1.2399268443161852E-2</v>
      </c>
      <c r="F66">
        <f t="shared" si="1"/>
        <v>7.3155683814711547E-7</v>
      </c>
      <c r="G66" t="str">
        <f t="shared" si="2"/>
        <v>&lt; $10</v>
      </c>
    </row>
    <row r="67" spans="1:7" x14ac:dyDescent="0.3">
      <c r="A67" s="20" t="s">
        <v>435</v>
      </c>
      <c r="B67" s="21" t="s">
        <v>436</v>
      </c>
      <c r="C67" s="21">
        <v>0.42049999999999998</v>
      </c>
      <c r="D67" s="21">
        <v>4.4999999999999997E-3</v>
      </c>
      <c r="E67">
        <f t="shared" ref="E67:E130" si="6" xml:space="preserve"> C67 / (1 + D67/100)</f>
        <v>0.42048107835147414</v>
      </c>
      <c r="F67">
        <f t="shared" ref="F67:F130" si="7" xml:space="preserve"> C67 - E67</f>
        <v>1.8921648525849211E-5</v>
      </c>
      <c r="G67" t="str">
        <f t="shared" ref="G67:G130" si="8">IF(C67&gt;=10, "&gt;= $10", "&lt; $10")</f>
        <v>&lt; $10</v>
      </c>
    </row>
    <row r="68" spans="1:7" x14ac:dyDescent="0.3">
      <c r="A68" s="18" t="s">
        <v>446</v>
      </c>
      <c r="B68" s="19" t="s">
        <v>447</v>
      </c>
      <c r="C68" s="19">
        <v>1.01</v>
      </c>
      <c r="D68" s="19">
        <v>4.0000000000000001E-3</v>
      </c>
      <c r="E68">
        <f t="shared" si="6"/>
        <v>1.0099596016159353</v>
      </c>
      <c r="F68">
        <f t="shared" si="7"/>
        <v>4.0398384064666004E-5</v>
      </c>
      <c r="G68" t="str">
        <f t="shared" si="8"/>
        <v>&lt; $10</v>
      </c>
    </row>
    <row r="69" spans="1:7" x14ac:dyDescent="0.3">
      <c r="A69" s="20" t="s">
        <v>453</v>
      </c>
      <c r="B69" s="21" t="s">
        <v>454</v>
      </c>
      <c r="C69" s="21">
        <v>0.249</v>
      </c>
      <c r="D69" s="21">
        <v>3.0999999999999999E-3</v>
      </c>
      <c r="E69">
        <f t="shared" si="6"/>
        <v>0.2489922812392816</v>
      </c>
      <c r="F69">
        <f t="shared" si="7"/>
        <v>7.7187607183948348E-6</v>
      </c>
      <c r="G69" t="str">
        <f t="shared" si="8"/>
        <v>&lt; $10</v>
      </c>
    </row>
    <row r="70" spans="1:7" x14ac:dyDescent="0.3">
      <c r="A70" s="18" t="s">
        <v>459</v>
      </c>
      <c r="B70" s="19" t="s">
        <v>460</v>
      </c>
      <c r="C70" s="19">
        <v>0.1618</v>
      </c>
      <c r="D70" s="19">
        <v>2.9999999999999997E-4</v>
      </c>
      <c r="E70">
        <f t="shared" si="6"/>
        <v>0.1617995146014562</v>
      </c>
      <c r="F70">
        <f t="shared" si="7"/>
        <v>4.8539854380358349E-7</v>
      </c>
      <c r="G70" t="str">
        <f t="shared" si="8"/>
        <v>&lt; $10</v>
      </c>
    </row>
    <row r="71" spans="1:7" x14ac:dyDescent="0.3">
      <c r="A71" s="20" t="s">
        <v>1286</v>
      </c>
      <c r="B71" s="21" t="s">
        <v>465</v>
      </c>
      <c r="C71" s="21">
        <v>0.1431</v>
      </c>
      <c r="D71" s="21">
        <v>7.9000000000000008E-3</v>
      </c>
      <c r="E71">
        <f t="shared" si="6"/>
        <v>0.14308869599301657</v>
      </c>
      <c r="F71">
        <f t="shared" si="7"/>
        <v>1.1304006983431369E-5</v>
      </c>
      <c r="G71" t="str">
        <f t="shared" si="8"/>
        <v>&lt; $10</v>
      </c>
    </row>
    <row r="72" spans="1:7" x14ac:dyDescent="0.3">
      <c r="A72" s="18" t="s">
        <v>471</v>
      </c>
      <c r="B72" s="19" t="s">
        <v>472</v>
      </c>
      <c r="C72" s="19">
        <v>2.0500000000000001E-2</v>
      </c>
      <c r="D72" s="19">
        <v>1.1999999999999999E-3</v>
      </c>
      <c r="E72">
        <f t="shared" si="6"/>
        <v>2.0499754002951967E-2</v>
      </c>
      <c r="F72">
        <f t="shared" si="7"/>
        <v>2.4599704803382472E-7</v>
      </c>
      <c r="G72" t="str">
        <f t="shared" si="8"/>
        <v>&lt; $10</v>
      </c>
    </row>
    <row r="73" spans="1:7" x14ac:dyDescent="0.3">
      <c r="A73" s="20" t="s">
        <v>478</v>
      </c>
      <c r="B73" s="21" t="s">
        <v>479</v>
      </c>
      <c r="C73" s="21">
        <v>3.0099999999999998E-2</v>
      </c>
      <c r="D73" s="21">
        <v>2.5000000000000001E-3</v>
      </c>
      <c r="E73">
        <f t="shared" si="6"/>
        <v>3.0099247518812031E-2</v>
      </c>
      <c r="F73">
        <f t="shared" si="7"/>
        <v>7.5248118796764074E-7</v>
      </c>
      <c r="G73" t="str">
        <f t="shared" si="8"/>
        <v>&lt; $10</v>
      </c>
    </row>
    <row r="74" spans="1:7" x14ac:dyDescent="0.3">
      <c r="A74" s="18" t="s">
        <v>485</v>
      </c>
      <c r="B74" s="19" t="s">
        <v>485</v>
      </c>
      <c r="C74" s="19">
        <v>0.89870000000000005</v>
      </c>
      <c r="D74" s="19">
        <v>8.9999999999999993E-3</v>
      </c>
      <c r="E74">
        <f t="shared" si="6"/>
        <v>0.89861912427881507</v>
      </c>
      <c r="F74">
        <f t="shared" si="7"/>
        <v>8.0875721184980875E-5</v>
      </c>
      <c r="G74" t="str">
        <f t="shared" si="8"/>
        <v>&lt; $10</v>
      </c>
    </row>
    <row r="75" spans="1:7" x14ac:dyDescent="0.3">
      <c r="A75" s="20" t="s">
        <v>491</v>
      </c>
      <c r="B75" s="21" t="s">
        <v>492</v>
      </c>
      <c r="C75" s="21">
        <v>0.1125</v>
      </c>
      <c r="D75" s="21">
        <v>6.6E-3</v>
      </c>
      <c r="E75">
        <f t="shared" si="6"/>
        <v>0.11249257549001768</v>
      </c>
      <c r="F75">
        <f t="shared" si="7"/>
        <v>7.4245099823261329E-6</v>
      </c>
      <c r="G75" t="str">
        <f t="shared" si="8"/>
        <v>&lt; $10</v>
      </c>
    </row>
    <row r="76" spans="1:7" x14ac:dyDescent="0.3">
      <c r="A76" s="18" t="s">
        <v>498</v>
      </c>
      <c r="B76" s="19" t="s">
        <v>499</v>
      </c>
      <c r="C76" s="19">
        <v>6.1000000000000004E-3</v>
      </c>
      <c r="D76" s="19">
        <v>1.4E-3</v>
      </c>
      <c r="E76">
        <f t="shared" si="6"/>
        <v>6.0999146011955843E-3</v>
      </c>
      <c r="F76">
        <f t="shared" si="7"/>
        <v>8.5398804416068896E-8</v>
      </c>
      <c r="G76" t="str">
        <f t="shared" si="8"/>
        <v>&lt; $10</v>
      </c>
    </row>
    <row r="77" spans="1:7" x14ac:dyDescent="0.3">
      <c r="A77" s="20" t="s">
        <v>504</v>
      </c>
      <c r="B77" s="21" t="s">
        <v>505</v>
      </c>
      <c r="C77" s="21">
        <v>1.23</v>
      </c>
      <c r="D77" s="21">
        <v>2.0000000000000001E-4</v>
      </c>
      <c r="E77">
        <f t="shared" si="6"/>
        <v>1.2299975400049199</v>
      </c>
      <c r="F77">
        <f t="shared" si="7"/>
        <v>2.4599950800840986E-6</v>
      </c>
      <c r="G77" t="str">
        <f t="shared" si="8"/>
        <v>&lt; $10</v>
      </c>
    </row>
    <row r="78" spans="1:7" x14ac:dyDescent="0.3">
      <c r="A78" s="18" t="s">
        <v>510</v>
      </c>
      <c r="B78" s="19" t="s">
        <v>510</v>
      </c>
      <c r="C78" s="19">
        <v>2.2800000000000001E-2</v>
      </c>
      <c r="D78" s="19">
        <v>1.9E-3</v>
      </c>
      <c r="E78">
        <f t="shared" si="6"/>
        <v>2.2799566808230646E-2</v>
      </c>
      <c r="F78">
        <f t="shared" si="7"/>
        <v>4.331917693549403E-7</v>
      </c>
      <c r="G78" t="str">
        <f t="shared" si="8"/>
        <v>&lt; $10</v>
      </c>
    </row>
    <row r="79" spans="1:7" x14ac:dyDescent="0.3">
      <c r="A79" s="20" t="s">
        <v>515</v>
      </c>
      <c r="B79" s="21" t="s">
        <v>516</v>
      </c>
      <c r="C79" s="21">
        <v>3.6900000000000002E-2</v>
      </c>
      <c r="D79" s="21">
        <v>7.1999999999999998E-3</v>
      </c>
      <c r="E79">
        <f t="shared" si="6"/>
        <v>3.689734339127583E-2</v>
      </c>
      <c r="F79">
        <f t="shared" si="7"/>
        <v>2.6566087241719494E-6</v>
      </c>
      <c r="G79" t="str">
        <f t="shared" si="8"/>
        <v>&lt; $10</v>
      </c>
    </row>
    <row r="80" spans="1:7" x14ac:dyDescent="0.3">
      <c r="A80" s="18" t="s">
        <v>522</v>
      </c>
      <c r="B80" s="19" t="s">
        <v>522</v>
      </c>
      <c r="C80" s="19">
        <v>3.1899999999999998E-2</v>
      </c>
      <c r="D80" s="19">
        <v>2.1600000000000001E-2</v>
      </c>
      <c r="E80">
        <f t="shared" si="6"/>
        <v>3.1893111088004987E-2</v>
      </c>
      <c r="F80">
        <f t="shared" si="7"/>
        <v>6.8889119950107935E-6</v>
      </c>
      <c r="G80" t="str">
        <f t="shared" si="8"/>
        <v>&lt; $10</v>
      </c>
    </row>
    <row r="81" spans="1:7" x14ac:dyDescent="0.3">
      <c r="A81" s="20" t="s">
        <v>528</v>
      </c>
      <c r="B81" s="21" t="s">
        <v>529</v>
      </c>
      <c r="C81" s="21">
        <v>3.8999999999999998E-3</v>
      </c>
      <c r="D81" s="21">
        <v>1.5900000000000001E-2</v>
      </c>
      <c r="E81">
        <f t="shared" si="6"/>
        <v>3.8993799985802256E-3</v>
      </c>
      <c r="F81">
        <f t="shared" si="7"/>
        <v>6.2000141977424164E-7</v>
      </c>
      <c r="G81" t="str">
        <f t="shared" si="8"/>
        <v>&lt; $10</v>
      </c>
    </row>
    <row r="82" spans="1:7" x14ac:dyDescent="0.3">
      <c r="A82" s="18" t="s">
        <v>535</v>
      </c>
      <c r="B82" s="19" t="s">
        <v>536</v>
      </c>
      <c r="C82" s="19">
        <v>0.62219999999999998</v>
      </c>
      <c r="D82" s="19">
        <v>6.7000000000000002E-3</v>
      </c>
      <c r="E82">
        <f t="shared" si="6"/>
        <v>0.62215831539286859</v>
      </c>
      <c r="F82">
        <f t="shared" si="7"/>
        <v>4.1684607131386997E-5</v>
      </c>
      <c r="G82" t="str">
        <f t="shared" si="8"/>
        <v>&lt; $10</v>
      </c>
    </row>
    <row r="83" spans="1:7" x14ac:dyDescent="0.3">
      <c r="A83" s="20" t="s">
        <v>541</v>
      </c>
      <c r="B83" s="21" t="s">
        <v>542</v>
      </c>
      <c r="C83" s="21">
        <v>7.6200000000000004E-2</v>
      </c>
      <c r="D83" s="21">
        <v>3.7000000000000002E-3</v>
      </c>
      <c r="E83">
        <f t="shared" si="6"/>
        <v>7.6197180704313944E-2</v>
      </c>
      <c r="F83">
        <f t="shared" si="7"/>
        <v>2.8192956860600971E-6</v>
      </c>
      <c r="G83" t="str">
        <f t="shared" si="8"/>
        <v>&lt; $10</v>
      </c>
    </row>
    <row r="84" spans="1:7" x14ac:dyDescent="0.3">
      <c r="A84" s="18" t="s">
        <v>548</v>
      </c>
      <c r="B84" s="19" t="s">
        <v>548</v>
      </c>
      <c r="C84" s="19">
        <v>2.1100000000000001E-2</v>
      </c>
      <c r="D84" s="19">
        <v>5.0000000000000001E-3</v>
      </c>
      <c r="E84">
        <f t="shared" si="6"/>
        <v>2.1098945052747359E-2</v>
      </c>
      <c r="F84">
        <f t="shared" si="7"/>
        <v>1.0549472526412418E-6</v>
      </c>
      <c r="G84" t="str">
        <f t="shared" si="8"/>
        <v>&lt; $10</v>
      </c>
    </row>
    <row r="85" spans="1:7" x14ac:dyDescent="0.3">
      <c r="A85" s="20" t="s">
        <v>553</v>
      </c>
      <c r="B85" s="21" t="s">
        <v>554</v>
      </c>
      <c r="C85" s="21">
        <v>2.58E-2</v>
      </c>
      <c r="D85" s="21">
        <v>1.09E-2</v>
      </c>
      <c r="E85">
        <f t="shared" si="6"/>
        <v>2.5797188106496394E-2</v>
      </c>
      <c r="F85">
        <f t="shared" si="7"/>
        <v>2.8118935036063053E-6</v>
      </c>
      <c r="G85" t="str">
        <f t="shared" si="8"/>
        <v>&lt; $10</v>
      </c>
    </row>
    <row r="86" spans="1:7" x14ac:dyDescent="0.3">
      <c r="A86" s="18" t="s">
        <v>559</v>
      </c>
      <c r="B86" s="19" t="s">
        <v>560</v>
      </c>
      <c r="C86" s="19">
        <v>0.1085</v>
      </c>
      <c r="D86" s="19">
        <v>0</v>
      </c>
      <c r="E86">
        <f t="shared" si="6"/>
        <v>0.1085</v>
      </c>
      <c r="F86">
        <f t="shared" si="7"/>
        <v>0</v>
      </c>
      <c r="G86" t="str">
        <f t="shared" si="8"/>
        <v>&lt; $10</v>
      </c>
    </row>
    <row r="87" spans="1:7" x14ac:dyDescent="0.3">
      <c r="A87" s="20" t="s">
        <v>565</v>
      </c>
      <c r="B87" s="21" t="s">
        <v>566</v>
      </c>
      <c r="C87" s="21">
        <v>9.5600000000000004E-2</v>
      </c>
      <c r="D87" s="21">
        <v>9.1999999999999998E-3</v>
      </c>
      <c r="E87">
        <f t="shared" si="6"/>
        <v>9.5591205609083976E-2</v>
      </c>
      <c r="F87">
        <f t="shared" si="7"/>
        <v>8.794390916028183E-6</v>
      </c>
      <c r="G87" t="str">
        <f t="shared" si="8"/>
        <v>&lt; $10</v>
      </c>
    </row>
    <row r="88" spans="1:7" x14ac:dyDescent="0.3">
      <c r="A88" s="18" t="s">
        <v>572</v>
      </c>
      <c r="B88" s="19" t="s">
        <v>573</v>
      </c>
      <c r="C88" s="19">
        <v>2.5499999999999998E-2</v>
      </c>
      <c r="D88" s="19">
        <v>5.9999999999999995E-4</v>
      </c>
      <c r="E88">
        <f t="shared" si="6"/>
        <v>2.5499847000917994E-2</v>
      </c>
      <c r="F88">
        <f t="shared" si="7"/>
        <v>1.5299908200441803E-7</v>
      </c>
      <c r="G88" t="str">
        <f t="shared" si="8"/>
        <v>&lt; $10</v>
      </c>
    </row>
    <row r="89" spans="1:7" x14ac:dyDescent="0.3">
      <c r="A89" s="20" t="s">
        <v>578</v>
      </c>
      <c r="B89" s="21" t="s">
        <v>579</v>
      </c>
      <c r="C89" s="21">
        <v>0.85289999999999999</v>
      </c>
      <c r="D89" s="21">
        <v>1.2999999999999999E-3</v>
      </c>
      <c r="E89">
        <f t="shared" si="6"/>
        <v>0.85288891244413823</v>
      </c>
      <c r="F89">
        <f t="shared" si="7"/>
        <v>1.1087555861766241E-5</v>
      </c>
      <c r="G89" t="str">
        <f t="shared" si="8"/>
        <v>&lt; $10</v>
      </c>
    </row>
    <row r="90" spans="1:7" x14ac:dyDescent="0.3">
      <c r="A90" s="18" t="s">
        <v>584</v>
      </c>
      <c r="B90" s="19" t="s">
        <v>584</v>
      </c>
      <c r="C90" s="19">
        <v>0.99880000000000002</v>
      </c>
      <c r="D90" s="19">
        <v>2.9999999999999997E-4</v>
      </c>
      <c r="E90">
        <f t="shared" si="6"/>
        <v>0.99879700360898926</v>
      </c>
      <c r="F90">
        <f t="shared" si="7"/>
        <v>2.9963910107566605E-6</v>
      </c>
      <c r="G90" t="str">
        <f t="shared" si="8"/>
        <v>&lt; $10</v>
      </c>
    </row>
    <row r="91" spans="1:7" x14ac:dyDescent="0.3">
      <c r="A91" s="20" t="s">
        <v>589</v>
      </c>
      <c r="B91" s="21" t="s">
        <v>590</v>
      </c>
      <c r="C91" s="21">
        <v>3.7900000000000003E-2</v>
      </c>
      <c r="D91" s="21">
        <v>0</v>
      </c>
      <c r="E91">
        <f t="shared" si="6"/>
        <v>3.7900000000000003E-2</v>
      </c>
      <c r="F91">
        <f t="shared" si="7"/>
        <v>0</v>
      </c>
      <c r="G91" t="str">
        <f t="shared" si="8"/>
        <v>&lt; $10</v>
      </c>
    </row>
    <row r="92" spans="1:7" x14ac:dyDescent="0.3">
      <c r="A92" s="18" t="s">
        <v>595</v>
      </c>
      <c r="B92" s="19" t="s">
        <v>596</v>
      </c>
      <c r="C92" s="19">
        <v>0.02</v>
      </c>
      <c r="D92" s="19">
        <v>2.9999999999999997E-4</v>
      </c>
      <c r="E92">
        <f t="shared" si="6"/>
        <v>1.9999940000179999E-2</v>
      </c>
      <c r="F92">
        <f t="shared" si="7"/>
        <v>5.9999820001266357E-8</v>
      </c>
      <c r="G92" t="str">
        <f t="shared" si="8"/>
        <v>&lt; $10</v>
      </c>
    </row>
    <row r="93" spans="1:7" x14ac:dyDescent="0.3">
      <c r="A93" s="20" t="s">
        <v>601</v>
      </c>
      <c r="B93" s="21" t="s">
        <v>602</v>
      </c>
      <c r="C93" s="21">
        <v>8.1699999999999995E-2</v>
      </c>
      <c r="D93" s="21">
        <v>5.1999999999999998E-3</v>
      </c>
      <c r="E93">
        <f t="shared" si="6"/>
        <v>8.1695751820905313E-2</v>
      </c>
      <c r="F93">
        <f t="shared" si="7"/>
        <v>4.248179094681892E-6</v>
      </c>
      <c r="G93" t="str">
        <f t="shared" si="8"/>
        <v>&lt; $10</v>
      </c>
    </row>
    <row r="94" spans="1:7" x14ac:dyDescent="0.3">
      <c r="A94" s="18" t="s">
        <v>607</v>
      </c>
      <c r="B94" s="19" t="s">
        <v>608</v>
      </c>
      <c r="C94" s="19">
        <v>5.4999999999999997E-3</v>
      </c>
      <c r="D94" s="19">
        <v>1.06E-2</v>
      </c>
      <c r="E94">
        <f t="shared" si="6"/>
        <v>5.4994170617914499E-3</v>
      </c>
      <c r="F94">
        <f t="shared" si="7"/>
        <v>5.8293820854975198E-7</v>
      </c>
      <c r="G94" t="str">
        <f t="shared" si="8"/>
        <v>&lt; $10</v>
      </c>
    </row>
    <row r="95" spans="1:7" x14ac:dyDescent="0.3">
      <c r="A95" s="20" t="s">
        <v>614</v>
      </c>
      <c r="B95" s="21" t="s">
        <v>615</v>
      </c>
      <c r="C95" s="21">
        <v>3.8899999999999997E-2</v>
      </c>
      <c r="D95" s="21">
        <v>0</v>
      </c>
      <c r="E95">
        <f t="shared" si="6"/>
        <v>3.8899999999999997E-2</v>
      </c>
      <c r="F95">
        <f t="shared" si="7"/>
        <v>0</v>
      </c>
      <c r="G95" t="str">
        <f t="shared" si="8"/>
        <v>&lt; $10</v>
      </c>
    </row>
    <row r="96" spans="1:7" x14ac:dyDescent="0.3">
      <c r="A96" s="18" t="s">
        <v>620</v>
      </c>
      <c r="B96" s="19" t="s">
        <v>621</v>
      </c>
      <c r="C96" s="19">
        <v>9.4000000000000004E-3</v>
      </c>
      <c r="D96" s="19">
        <v>4.0000000000000002E-4</v>
      </c>
      <c r="E96">
        <f t="shared" si="6"/>
        <v>9.3999624001504002E-3</v>
      </c>
      <c r="F96">
        <f t="shared" si="7"/>
        <v>3.759984960015339E-8</v>
      </c>
      <c r="G96" t="str">
        <f t="shared" si="8"/>
        <v>&lt; $10</v>
      </c>
    </row>
    <row r="97" spans="1:7" x14ac:dyDescent="0.3">
      <c r="A97" s="20" t="s">
        <v>626</v>
      </c>
      <c r="B97" s="21" t="s">
        <v>627</v>
      </c>
      <c r="C97" s="21">
        <v>6.6400000000000001E-2</v>
      </c>
      <c r="D97" s="21">
        <v>6.9999999999999999E-4</v>
      </c>
      <c r="E97">
        <f t="shared" si="6"/>
        <v>6.6399535203253576E-2</v>
      </c>
      <c r="F97">
        <f t="shared" si="7"/>
        <v>4.6479674642441182E-7</v>
      </c>
      <c r="G97" t="str">
        <f t="shared" si="8"/>
        <v>&lt; $10</v>
      </c>
    </row>
    <row r="98" spans="1:7" x14ac:dyDescent="0.3">
      <c r="A98" s="18" t="s">
        <v>632</v>
      </c>
      <c r="B98" s="19" t="s">
        <v>633</v>
      </c>
      <c r="C98" s="19">
        <v>2.18E-2</v>
      </c>
      <c r="D98" s="19">
        <v>7.7000000000000002E-3</v>
      </c>
      <c r="E98">
        <f t="shared" si="6"/>
        <v>2.1798321529242246E-2</v>
      </c>
      <c r="F98">
        <f t="shared" si="7"/>
        <v>1.6784707577537084E-6</v>
      </c>
      <c r="G98" t="str">
        <f t="shared" si="8"/>
        <v>&lt; $10</v>
      </c>
    </row>
    <row r="99" spans="1:7" x14ac:dyDescent="0.3">
      <c r="A99" s="20" t="s">
        <v>638</v>
      </c>
      <c r="B99" s="21" t="s">
        <v>639</v>
      </c>
      <c r="C99" s="21">
        <v>16.850000000000001</v>
      </c>
      <c r="D99" s="21">
        <v>5.0000000000000001E-3</v>
      </c>
      <c r="E99">
        <f t="shared" si="6"/>
        <v>16.849157542122892</v>
      </c>
      <c r="F99">
        <f t="shared" si="7"/>
        <v>8.4245787710912623E-4</v>
      </c>
      <c r="G99" t="str">
        <f t="shared" si="8"/>
        <v>&gt;= $10</v>
      </c>
    </row>
    <row r="100" spans="1:7" x14ac:dyDescent="0.3">
      <c r="A100" s="18" t="s">
        <v>644</v>
      </c>
      <c r="B100" s="19" t="s">
        <v>645</v>
      </c>
      <c r="C100" s="19">
        <v>0.1108</v>
      </c>
      <c r="D100" s="19">
        <v>1.04E-2</v>
      </c>
      <c r="E100">
        <f t="shared" si="6"/>
        <v>0.11078847799828816</v>
      </c>
      <c r="F100">
        <f t="shared" si="7"/>
        <v>1.1522001711838925E-5</v>
      </c>
      <c r="G100" t="str">
        <f t="shared" si="8"/>
        <v>&lt; $10</v>
      </c>
    </row>
    <row r="101" spans="1:7" x14ac:dyDescent="0.3">
      <c r="A101" s="20" t="s">
        <v>651</v>
      </c>
      <c r="B101" s="21" t="s">
        <v>651</v>
      </c>
      <c r="C101" s="21">
        <v>7.0000000000000001E-3</v>
      </c>
      <c r="D101" s="21">
        <v>4.5999999999999999E-3</v>
      </c>
      <c r="E101">
        <f t="shared" si="6"/>
        <v>6.9996780148113185E-3</v>
      </c>
      <c r="F101">
        <f t="shared" si="7"/>
        <v>3.2198518868167825E-7</v>
      </c>
      <c r="G101" t="str">
        <f t="shared" si="8"/>
        <v>&lt; $10</v>
      </c>
    </row>
    <row r="102" spans="1:7" x14ac:dyDescent="0.3">
      <c r="A102" s="18" t="s">
        <v>657</v>
      </c>
      <c r="B102" s="19" t="s">
        <v>658</v>
      </c>
      <c r="C102" s="19">
        <v>4.0000000000000002E-4</v>
      </c>
      <c r="D102" s="19">
        <v>1.1000000000000001E-3</v>
      </c>
      <c r="E102">
        <f t="shared" si="6"/>
        <v>3.9999560004839947E-4</v>
      </c>
      <c r="F102">
        <f t="shared" si="7"/>
        <v>4.3999516005470418E-9</v>
      </c>
      <c r="G102" t="str">
        <f t="shared" si="8"/>
        <v>&lt; $10</v>
      </c>
    </row>
    <row r="103" spans="1:7" x14ac:dyDescent="0.3">
      <c r="A103" s="20" t="s">
        <v>663</v>
      </c>
      <c r="B103" s="21" t="s">
        <v>664</v>
      </c>
      <c r="C103" s="21">
        <v>2.0000000000000001E-4</v>
      </c>
      <c r="D103" s="21">
        <v>5.1999999999999998E-3</v>
      </c>
      <c r="E103">
        <f t="shared" si="6"/>
        <v>1.999896005407719E-4</v>
      </c>
      <c r="F103">
        <f t="shared" si="7"/>
        <v>1.0399459228114215E-8</v>
      </c>
      <c r="G103" t="str">
        <f t="shared" si="8"/>
        <v>&lt; $10</v>
      </c>
    </row>
    <row r="104" spans="1:7" x14ac:dyDescent="0.3">
      <c r="A104" s="18" t="s">
        <v>669</v>
      </c>
      <c r="B104" s="19" t="s">
        <v>670</v>
      </c>
      <c r="C104" s="19">
        <v>3.32E-2</v>
      </c>
      <c r="D104" s="19">
        <v>0</v>
      </c>
      <c r="E104">
        <f t="shared" si="6"/>
        <v>3.32E-2</v>
      </c>
      <c r="F104">
        <f t="shared" si="7"/>
        <v>0</v>
      </c>
      <c r="G104" t="str">
        <f t="shared" si="8"/>
        <v>&lt; $10</v>
      </c>
    </row>
    <row r="105" spans="1:7" x14ac:dyDescent="0.3">
      <c r="A105" s="20" t="s">
        <v>675</v>
      </c>
      <c r="B105" s="21" t="s">
        <v>676</v>
      </c>
      <c r="C105" s="21">
        <v>2.9899999999999999E-2</v>
      </c>
      <c r="D105" s="21">
        <v>1E-4</v>
      </c>
      <c r="E105">
        <f t="shared" si="6"/>
        <v>2.9899970100029902E-2</v>
      </c>
      <c r="F105">
        <f t="shared" si="7"/>
        <v>2.9899970097058137E-8</v>
      </c>
      <c r="G105" t="str">
        <f t="shared" si="8"/>
        <v>&lt; $10</v>
      </c>
    </row>
    <row r="106" spans="1:7" x14ac:dyDescent="0.3">
      <c r="A106" s="18" t="s">
        <v>681</v>
      </c>
      <c r="B106" s="19" t="s">
        <v>682</v>
      </c>
      <c r="C106" s="19">
        <v>7.1599999999999997E-2</v>
      </c>
      <c r="D106" s="19">
        <v>4.1000000000000003E-3</v>
      </c>
      <c r="E106">
        <f t="shared" si="6"/>
        <v>7.1597064520354664E-2</v>
      </c>
      <c r="F106">
        <f t="shared" si="7"/>
        <v>2.9354796453329168E-6</v>
      </c>
      <c r="G106" t="str">
        <f t="shared" si="8"/>
        <v>&lt; $10</v>
      </c>
    </row>
    <row r="107" spans="1:7" x14ac:dyDescent="0.3">
      <c r="A107" s="20" t="s">
        <v>688</v>
      </c>
      <c r="B107" s="21" t="s">
        <v>689</v>
      </c>
      <c r="C107" s="21">
        <v>1.44E-2</v>
      </c>
      <c r="D107" s="21">
        <v>1.4E-3</v>
      </c>
      <c r="E107">
        <f t="shared" si="6"/>
        <v>1.4399798402822361E-2</v>
      </c>
      <c r="F107">
        <f t="shared" si="7"/>
        <v>2.015971776389569E-7</v>
      </c>
      <c r="G107" t="str">
        <f t="shared" si="8"/>
        <v>&lt; $10</v>
      </c>
    </row>
    <row r="108" spans="1:7" x14ac:dyDescent="0.3">
      <c r="A108" s="18" t="s">
        <v>693</v>
      </c>
      <c r="B108" s="19" t="s">
        <v>694</v>
      </c>
      <c r="C108" s="19">
        <v>0.1963</v>
      </c>
      <c r="D108" s="19">
        <v>8.0999999999999996E-3</v>
      </c>
      <c r="E108">
        <f t="shared" si="6"/>
        <v>0.19628410098781998</v>
      </c>
      <c r="F108">
        <f t="shared" si="7"/>
        <v>1.5899012180020655E-5</v>
      </c>
      <c r="G108" t="str">
        <f t="shared" si="8"/>
        <v>&lt; $10</v>
      </c>
    </row>
    <row r="109" spans="1:7" x14ac:dyDescent="0.3">
      <c r="A109" s="20" t="s">
        <v>700</v>
      </c>
      <c r="B109" s="21" t="s">
        <v>701</v>
      </c>
      <c r="C109" s="21">
        <v>1.4800000000000001E-2</v>
      </c>
      <c r="D109" s="21">
        <v>1.1999999999999999E-3</v>
      </c>
      <c r="E109">
        <f t="shared" si="6"/>
        <v>1.4799822402131176E-2</v>
      </c>
      <c r="F109">
        <f t="shared" si="7"/>
        <v>1.7759786882440287E-7</v>
      </c>
      <c r="G109" t="str">
        <f t="shared" si="8"/>
        <v>&lt; $10</v>
      </c>
    </row>
    <row r="110" spans="1:7" x14ac:dyDescent="0.3">
      <c r="A110" s="18" t="s">
        <v>706</v>
      </c>
      <c r="B110" s="19" t="s">
        <v>707</v>
      </c>
      <c r="C110" s="19">
        <v>4.2999999999999997E-2</v>
      </c>
      <c r="D110" s="19">
        <v>2.8E-3</v>
      </c>
      <c r="E110">
        <f t="shared" si="6"/>
        <v>4.2998796033711054E-2</v>
      </c>
      <c r="F110">
        <f t="shared" si="7"/>
        <v>1.2039662889429259E-6</v>
      </c>
      <c r="G110" t="str">
        <f t="shared" si="8"/>
        <v>&lt; $10</v>
      </c>
    </row>
    <row r="111" spans="1:7" x14ac:dyDescent="0.3">
      <c r="A111" s="20" t="s">
        <v>713</v>
      </c>
      <c r="B111" s="21" t="s">
        <v>714</v>
      </c>
      <c r="C111" s="21">
        <v>1.6899999999999998E-2</v>
      </c>
      <c r="D111" s="21">
        <v>1.0999999999999999E-2</v>
      </c>
      <c r="E111">
        <f t="shared" si="6"/>
        <v>1.6898141204467507E-2</v>
      </c>
      <c r="F111">
        <f t="shared" si="7"/>
        <v>1.8587955324909922E-6</v>
      </c>
      <c r="G111" t="str">
        <f t="shared" si="8"/>
        <v>&lt; $10</v>
      </c>
    </row>
    <row r="112" spans="1:7" x14ac:dyDescent="0.3">
      <c r="A112" s="18" t="s">
        <v>720</v>
      </c>
      <c r="B112" s="19" t="s">
        <v>721</v>
      </c>
      <c r="C112" s="19">
        <v>5.6399999999999999E-2</v>
      </c>
      <c r="D112" s="19">
        <v>5.0000000000000001E-4</v>
      </c>
      <c r="E112">
        <f t="shared" si="6"/>
        <v>5.6399718001409992E-2</v>
      </c>
      <c r="F112">
        <f t="shared" si="7"/>
        <v>2.8199859000710426E-7</v>
      </c>
      <c r="G112" t="str">
        <f t="shared" si="8"/>
        <v>&lt; $10</v>
      </c>
    </row>
    <row r="113" spans="1:7" x14ac:dyDescent="0.3">
      <c r="A113" s="20" t="s">
        <v>726</v>
      </c>
      <c r="B113" s="21" t="s">
        <v>727</v>
      </c>
      <c r="C113" s="21">
        <v>0.32490000000000002</v>
      </c>
      <c r="D113" s="21">
        <v>4.5999999999999999E-3</v>
      </c>
      <c r="E113">
        <f t="shared" si="6"/>
        <v>0.32488505528745681</v>
      </c>
      <c r="F113">
        <f t="shared" si="7"/>
        <v>1.4944712543207839E-5</v>
      </c>
      <c r="G113" t="str">
        <f t="shared" si="8"/>
        <v>&lt; $10</v>
      </c>
    </row>
    <row r="114" spans="1:7" x14ac:dyDescent="0.3">
      <c r="A114" s="18" t="s">
        <v>732</v>
      </c>
      <c r="B114" s="19" t="s">
        <v>733</v>
      </c>
      <c r="C114" s="19">
        <v>0.18329999999999999</v>
      </c>
      <c r="D114" s="19">
        <v>2.5999999999999999E-2</v>
      </c>
      <c r="E114">
        <f t="shared" si="6"/>
        <v>0.18325235438785917</v>
      </c>
      <c r="F114">
        <f t="shared" si="7"/>
        <v>4.7645612140823079E-5</v>
      </c>
      <c r="G114" t="str">
        <f t="shared" si="8"/>
        <v>&lt; $10</v>
      </c>
    </row>
    <row r="115" spans="1:7" x14ac:dyDescent="0.3">
      <c r="A115" s="20" t="s">
        <v>739</v>
      </c>
      <c r="B115" s="21" t="s">
        <v>739</v>
      </c>
      <c r="C115" s="21">
        <v>1.24E-2</v>
      </c>
      <c r="D115" s="21">
        <v>1.6400000000000001E-2</v>
      </c>
      <c r="E115">
        <f t="shared" si="6"/>
        <v>1.2397966733455713E-2</v>
      </c>
      <c r="F115">
        <f t="shared" si="7"/>
        <v>2.0332665442868852E-6</v>
      </c>
      <c r="G115" t="str">
        <f t="shared" si="8"/>
        <v>&lt; $10</v>
      </c>
    </row>
    <row r="116" spans="1:7" x14ac:dyDescent="0.3">
      <c r="A116" s="18" t="s">
        <v>745</v>
      </c>
      <c r="B116" s="19" t="s">
        <v>746</v>
      </c>
      <c r="C116" s="19">
        <v>4.1999999999999997E-3</v>
      </c>
      <c r="D116" s="19">
        <v>8.6999999999999994E-3</v>
      </c>
      <c r="E116">
        <f t="shared" si="6"/>
        <v>4.1996346317870348E-3</v>
      </c>
      <c r="F116">
        <f t="shared" si="7"/>
        <v>3.6536821296489358E-7</v>
      </c>
      <c r="G116" t="str">
        <f t="shared" si="8"/>
        <v>&lt; $10</v>
      </c>
    </row>
    <row r="117" spans="1:7" x14ac:dyDescent="0.3">
      <c r="A117" s="20" t="s">
        <v>752</v>
      </c>
      <c r="B117" s="21" t="s">
        <v>753</v>
      </c>
      <c r="C117" s="21">
        <v>7.4499999999999997E-2</v>
      </c>
      <c r="D117" s="21">
        <v>5.1000000000000004E-3</v>
      </c>
      <c r="E117">
        <f t="shared" si="6"/>
        <v>7.4496200693764614E-2</v>
      </c>
      <c r="F117">
        <f t="shared" si="7"/>
        <v>3.7993062353830487E-6</v>
      </c>
      <c r="G117" t="str">
        <f t="shared" si="8"/>
        <v>&lt; $10</v>
      </c>
    </row>
    <row r="118" spans="1:7" x14ac:dyDescent="0.3">
      <c r="A118" s="18" t="s">
        <v>759</v>
      </c>
      <c r="B118" s="19" t="s">
        <v>760</v>
      </c>
      <c r="C118" s="19">
        <v>0.21590000000000001</v>
      </c>
      <c r="D118" s="19">
        <v>3.8E-3</v>
      </c>
      <c r="E118">
        <f t="shared" si="6"/>
        <v>0.21589179611174777</v>
      </c>
      <c r="F118">
        <f t="shared" si="7"/>
        <v>8.2038882522339485E-6</v>
      </c>
      <c r="G118" t="str">
        <f t="shared" si="8"/>
        <v>&lt; $10</v>
      </c>
    </row>
    <row r="119" spans="1:7" x14ac:dyDescent="0.3">
      <c r="A119" s="20" t="s">
        <v>765</v>
      </c>
      <c r="B119" s="21" t="s">
        <v>766</v>
      </c>
      <c r="C119" s="21">
        <v>5.0000000000000001E-4</v>
      </c>
      <c r="D119" s="21">
        <v>9.1999999999999998E-3</v>
      </c>
      <c r="E119">
        <f t="shared" si="6"/>
        <v>4.9995400423161066E-4</v>
      </c>
      <c r="F119">
        <f t="shared" si="7"/>
        <v>4.599576838935221E-8</v>
      </c>
      <c r="G119" t="str">
        <f t="shared" si="8"/>
        <v>&lt; $10</v>
      </c>
    </row>
    <row r="120" spans="1:7" x14ac:dyDescent="0.3">
      <c r="A120" s="18" t="s">
        <v>771</v>
      </c>
      <c r="B120" s="19" t="s">
        <v>772</v>
      </c>
      <c r="C120" s="19">
        <v>0.99929999999999997</v>
      </c>
      <c r="D120" s="19">
        <v>5.0000000000000001E-4</v>
      </c>
      <c r="E120">
        <f t="shared" si="6"/>
        <v>0.99929500352498235</v>
      </c>
      <c r="F120">
        <f t="shared" si="7"/>
        <v>4.9964750176156869E-6</v>
      </c>
      <c r="G120" t="str">
        <f t="shared" si="8"/>
        <v>&lt; $10</v>
      </c>
    </row>
    <row r="121" spans="1:7" x14ac:dyDescent="0.3">
      <c r="A121" s="20" t="s">
        <v>777</v>
      </c>
      <c r="B121" s="21" t="s">
        <v>778</v>
      </c>
      <c r="C121" s="21">
        <v>3.38</v>
      </c>
      <c r="D121" s="21">
        <v>8.9999999999999998E-4</v>
      </c>
      <c r="E121">
        <f t="shared" si="6"/>
        <v>3.3799695802737775</v>
      </c>
      <c r="F121">
        <f t="shared" si="7"/>
        <v>3.0419726222419285E-5</v>
      </c>
      <c r="G121" t="str">
        <f t="shared" si="8"/>
        <v>&lt; $10</v>
      </c>
    </row>
    <row r="122" spans="1:7" x14ac:dyDescent="0.3">
      <c r="A122" s="18" t="s">
        <v>783</v>
      </c>
      <c r="B122" s="19" t="s">
        <v>784</v>
      </c>
      <c r="C122" s="19">
        <v>0.89400000000000002</v>
      </c>
      <c r="D122" s="19">
        <v>3.7000000000000002E-3</v>
      </c>
      <c r="E122">
        <f t="shared" si="6"/>
        <v>0.89396692322384064</v>
      </c>
      <c r="F122">
        <f t="shared" si="7"/>
        <v>3.3076776159379762E-5</v>
      </c>
      <c r="G122" t="str">
        <f t="shared" si="8"/>
        <v>&lt; $10</v>
      </c>
    </row>
    <row r="123" spans="1:7" x14ac:dyDescent="0.3">
      <c r="A123" s="20" t="s">
        <v>789</v>
      </c>
      <c r="B123" s="21" t="s">
        <v>790</v>
      </c>
      <c r="C123" s="21">
        <v>8.8000000000000005E-3</v>
      </c>
      <c r="D123" s="21">
        <v>1.1299999999999999E-2</v>
      </c>
      <c r="E123">
        <f t="shared" si="6"/>
        <v>8.7990057123545039E-3</v>
      </c>
      <c r="F123">
        <f t="shared" si="7"/>
        <v>9.9428764549665261E-7</v>
      </c>
      <c r="G123" t="str">
        <f t="shared" si="8"/>
        <v>&lt; $10</v>
      </c>
    </row>
    <row r="124" spans="1:7" x14ac:dyDescent="0.3">
      <c r="A124" s="18" t="s">
        <v>796</v>
      </c>
      <c r="B124" s="19" t="s">
        <v>797</v>
      </c>
      <c r="C124" s="19">
        <v>3.6299999999999999E-2</v>
      </c>
      <c r="D124" s="19">
        <v>1.4E-3</v>
      </c>
      <c r="E124">
        <f t="shared" si="6"/>
        <v>3.6299491807114698E-2</v>
      </c>
      <c r="F124">
        <f t="shared" si="7"/>
        <v>5.0819288530123963E-7</v>
      </c>
      <c r="G124" t="str">
        <f t="shared" si="8"/>
        <v>&lt; $10</v>
      </c>
    </row>
    <row r="125" spans="1:7" x14ac:dyDescent="0.3">
      <c r="A125" s="20" t="s">
        <v>802</v>
      </c>
      <c r="B125" s="21" t="s">
        <v>803</v>
      </c>
      <c r="C125" s="21">
        <v>4.5600000000000002E-2</v>
      </c>
      <c r="D125" s="21">
        <v>2.3999999999999998E-3</v>
      </c>
      <c r="E125">
        <f t="shared" si="6"/>
        <v>4.5598905626264973E-2</v>
      </c>
      <c r="F125">
        <f t="shared" si="7"/>
        <v>1.0943737350291305E-6</v>
      </c>
      <c r="G125" t="str">
        <f t="shared" si="8"/>
        <v>&lt; $10</v>
      </c>
    </row>
    <row r="126" spans="1:7" x14ac:dyDescent="0.3">
      <c r="A126" s="18" t="s">
        <v>808</v>
      </c>
      <c r="B126" s="19" t="s">
        <v>809</v>
      </c>
      <c r="C126" s="19">
        <v>8.7099999999999997E-2</v>
      </c>
      <c r="D126" s="19">
        <v>6.1999999999999998E-3</v>
      </c>
      <c r="E126">
        <f t="shared" si="6"/>
        <v>8.7094600134791644E-2</v>
      </c>
      <c r="F126">
        <f t="shared" si="7"/>
        <v>5.3998652083525611E-6</v>
      </c>
      <c r="G126" t="str">
        <f t="shared" si="8"/>
        <v>&lt; $10</v>
      </c>
    </row>
    <row r="127" spans="1:7" x14ac:dyDescent="0.3">
      <c r="A127" s="20" t="s">
        <v>815</v>
      </c>
      <c r="B127" s="21" t="s">
        <v>816</v>
      </c>
      <c r="C127" s="21">
        <v>3.95E-2</v>
      </c>
      <c r="D127" s="21">
        <v>4.1000000000000003E-3</v>
      </c>
      <c r="E127">
        <f t="shared" si="6"/>
        <v>3.9498380566396783E-2</v>
      </c>
      <c r="F127">
        <f t="shared" si="7"/>
        <v>1.6194336032171464E-6</v>
      </c>
      <c r="G127" t="str">
        <f t="shared" si="8"/>
        <v>&lt; $10</v>
      </c>
    </row>
    <row r="128" spans="1:7" x14ac:dyDescent="0.3">
      <c r="A128" s="18" t="s">
        <v>821</v>
      </c>
      <c r="B128" s="19" t="s">
        <v>822</v>
      </c>
      <c r="C128" s="19">
        <v>9.8699999999999996E-2</v>
      </c>
      <c r="D128" s="19">
        <v>4.3E-3</v>
      </c>
      <c r="E128">
        <f t="shared" si="6"/>
        <v>9.8695756082488442E-2</v>
      </c>
      <c r="F128">
        <f t="shared" si="7"/>
        <v>4.2439175115538408E-6</v>
      </c>
      <c r="G128" t="str">
        <f t="shared" si="8"/>
        <v>&lt; $10</v>
      </c>
    </row>
    <row r="129" spans="1:7" x14ac:dyDescent="0.3">
      <c r="A129" s="20" t="s">
        <v>827</v>
      </c>
      <c r="B129" s="21" t="s">
        <v>828</v>
      </c>
      <c r="C129" s="21">
        <v>0.29120000000000001</v>
      </c>
      <c r="D129" s="21">
        <v>4.3E-3</v>
      </c>
      <c r="E129">
        <f t="shared" si="6"/>
        <v>0.29118747893840569</v>
      </c>
      <c r="F129">
        <f t="shared" si="7"/>
        <v>1.2521061594328309E-5</v>
      </c>
      <c r="G129" t="str">
        <f t="shared" si="8"/>
        <v>&lt; $10</v>
      </c>
    </row>
    <row r="130" spans="1:7" x14ac:dyDescent="0.3">
      <c r="A130" s="18" t="s">
        <v>842</v>
      </c>
      <c r="B130" s="19" t="s">
        <v>843</v>
      </c>
      <c r="C130" s="19">
        <v>3.4700000000000002E-2</v>
      </c>
      <c r="D130" s="19">
        <v>1.5E-3</v>
      </c>
      <c r="E130">
        <f t="shared" si="6"/>
        <v>3.4699479507807378E-2</v>
      </c>
      <c r="F130">
        <f t="shared" si="7"/>
        <v>5.2049219262384483E-7</v>
      </c>
      <c r="G130" t="str">
        <f t="shared" si="8"/>
        <v>&lt; $10</v>
      </c>
    </row>
    <row r="131" spans="1:7" x14ac:dyDescent="0.3">
      <c r="A131" s="20" t="s">
        <v>848</v>
      </c>
      <c r="B131" s="21" t="s">
        <v>849</v>
      </c>
      <c r="C131" s="21">
        <v>1.9300000000000001E-2</v>
      </c>
      <c r="D131" s="21">
        <v>2.0000000000000001E-4</v>
      </c>
      <c r="E131">
        <f t="shared" ref="E131:E188" si="9" xml:space="preserve"> C131 / (1 + D131/100)</f>
        <v>1.9299961400077201E-2</v>
      </c>
      <c r="F131">
        <f t="shared" ref="F131:F188" si="10" xml:space="preserve"> C131 - E131</f>
        <v>3.859992279975355E-8</v>
      </c>
      <c r="G131" t="str">
        <f t="shared" ref="G131:G188" si="11">IF(C131&gt;=10, "&gt;= $10", "&lt; $10")</f>
        <v>&lt; $10</v>
      </c>
    </row>
    <row r="132" spans="1:7" x14ac:dyDescent="0.3">
      <c r="A132" s="18" t="s">
        <v>859</v>
      </c>
      <c r="B132" s="19" t="s">
        <v>860</v>
      </c>
      <c r="C132" s="19">
        <v>1.38</v>
      </c>
      <c r="D132" s="19">
        <v>2.8500000000000001E-2</v>
      </c>
      <c r="E132">
        <f t="shared" si="9"/>
        <v>1.3796068120585632</v>
      </c>
      <c r="F132">
        <f t="shared" si="10"/>
        <v>3.9318794143672342E-4</v>
      </c>
      <c r="G132" t="str">
        <f t="shared" si="11"/>
        <v>&lt; $10</v>
      </c>
    </row>
    <row r="133" spans="1:7" x14ac:dyDescent="0.3">
      <c r="A133" s="20" t="s">
        <v>866</v>
      </c>
      <c r="B133" s="21" t="s">
        <v>867</v>
      </c>
      <c r="C133" s="21">
        <v>2.9999999999999997E-4</v>
      </c>
      <c r="D133" s="21">
        <v>5.9999999999999995E-4</v>
      </c>
      <c r="E133">
        <f t="shared" si="9"/>
        <v>2.9999820001079991E-4</v>
      </c>
      <c r="F133">
        <f t="shared" si="10"/>
        <v>1.7999892000628188E-9</v>
      </c>
      <c r="G133" t="str">
        <f t="shared" si="11"/>
        <v>&lt; $10</v>
      </c>
    </row>
    <row r="134" spans="1:7" x14ac:dyDescent="0.3">
      <c r="A134" s="18" t="s">
        <v>872</v>
      </c>
      <c r="B134" s="19" t="s">
        <v>873</v>
      </c>
      <c r="C134" s="19">
        <v>1E-3</v>
      </c>
      <c r="D134" s="19">
        <v>3.8E-3</v>
      </c>
      <c r="E134">
        <f t="shared" si="9"/>
        <v>9.9996200144394508E-4</v>
      </c>
      <c r="F134">
        <f t="shared" si="10"/>
        <v>3.7998556054940832E-8</v>
      </c>
      <c r="G134" t="str">
        <f t="shared" si="11"/>
        <v>&lt; $10</v>
      </c>
    </row>
    <row r="135" spans="1:7" x14ac:dyDescent="0.3">
      <c r="A135" s="20" t="s">
        <v>878</v>
      </c>
      <c r="B135" s="21" t="s">
        <v>878</v>
      </c>
      <c r="C135" s="21">
        <v>0.13519999999999999</v>
      </c>
      <c r="D135" s="21">
        <v>1.8E-3</v>
      </c>
      <c r="E135">
        <f t="shared" si="9"/>
        <v>0.13519756644380398</v>
      </c>
      <c r="F135">
        <f t="shared" si="10"/>
        <v>2.4335561960020513E-6</v>
      </c>
      <c r="G135" t="str">
        <f t="shared" si="11"/>
        <v>&lt; $10</v>
      </c>
    </row>
    <row r="136" spans="1:7" x14ac:dyDescent="0.3">
      <c r="A136" s="18" t="s">
        <v>884</v>
      </c>
      <c r="B136" s="19" t="s">
        <v>885</v>
      </c>
      <c r="C136" s="19">
        <v>4.8999999999999998E-3</v>
      </c>
      <c r="D136" s="19">
        <v>1.1999999999999999E-3</v>
      </c>
      <c r="E136">
        <f t="shared" si="9"/>
        <v>4.8999412007055916E-3</v>
      </c>
      <c r="F136">
        <f t="shared" si="10"/>
        <v>5.8799294408266867E-8</v>
      </c>
      <c r="G136" t="str">
        <f t="shared" si="11"/>
        <v>&lt; $10</v>
      </c>
    </row>
    <row r="137" spans="1:7" x14ac:dyDescent="0.3">
      <c r="A137" s="20" t="s">
        <v>890</v>
      </c>
      <c r="B137" s="21" t="s">
        <v>891</v>
      </c>
      <c r="C137" s="21">
        <v>6.0499999999999998E-2</v>
      </c>
      <c r="D137" s="21">
        <v>1.5900000000000001E-2</v>
      </c>
      <c r="E137">
        <f t="shared" si="9"/>
        <v>6.0490382029257342E-2</v>
      </c>
      <c r="F137">
        <f t="shared" si="10"/>
        <v>9.6179707426563565E-6</v>
      </c>
      <c r="G137" t="str">
        <f t="shared" si="11"/>
        <v>&lt; $10</v>
      </c>
    </row>
    <row r="138" spans="1:7" x14ac:dyDescent="0.3">
      <c r="A138" s="18" t="s">
        <v>896</v>
      </c>
      <c r="B138" s="19" t="s">
        <v>897</v>
      </c>
      <c r="C138" s="19">
        <v>0.26100000000000001</v>
      </c>
      <c r="D138" s="19">
        <v>1.1000000000000001E-3</v>
      </c>
      <c r="E138">
        <f t="shared" si="9"/>
        <v>0.26099712903158068</v>
      </c>
      <c r="F138">
        <f t="shared" si="10"/>
        <v>2.8709684193328755E-6</v>
      </c>
      <c r="G138" t="str">
        <f t="shared" si="11"/>
        <v>&lt; $10</v>
      </c>
    </row>
    <row r="139" spans="1:7" x14ac:dyDescent="0.3">
      <c r="A139" s="20" t="s">
        <v>902</v>
      </c>
      <c r="B139" s="21" t="s">
        <v>903</v>
      </c>
      <c r="C139" s="21">
        <v>5.8999999999999999E-3</v>
      </c>
      <c r="D139" s="21">
        <v>1.1000000000000001E-3</v>
      </c>
      <c r="E139">
        <f t="shared" si="9"/>
        <v>5.8999351007138923E-3</v>
      </c>
      <c r="F139">
        <f t="shared" si="10"/>
        <v>6.4899286107526766E-8</v>
      </c>
      <c r="G139" t="str">
        <f t="shared" si="11"/>
        <v>&lt; $10</v>
      </c>
    </row>
    <row r="140" spans="1:7" x14ac:dyDescent="0.3">
      <c r="A140" s="18" t="s">
        <v>908</v>
      </c>
      <c r="B140" s="19" t="s">
        <v>909</v>
      </c>
      <c r="C140" s="19">
        <v>1.12E-2</v>
      </c>
      <c r="D140" s="19">
        <v>2.9399999999999999E-2</v>
      </c>
      <c r="E140">
        <f t="shared" si="9"/>
        <v>1.1196708167798667E-2</v>
      </c>
      <c r="F140">
        <f t="shared" si="10"/>
        <v>3.2918322013329032E-6</v>
      </c>
      <c r="G140" t="str">
        <f t="shared" si="11"/>
        <v>&lt; $10</v>
      </c>
    </row>
    <row r="141" spans="1:7" x14ac:dyDescent="0.3">
      <c r="A141" s="20" t="s">
        <v>915</v>
      </c>
      <c r="B141" s="21" t="s">
        <v>916</v>
      </c>
      <c r="C141" s="21">
        <v>5.79E-2</v>
      </c>
      <c r="D141" s="21">
        <v>8.9999999999999998E-4</v>
      </c>
      <c r="E141">
        <f t="shared" si="9"/>
        <v>5.7899478904689862E-2</v>
      </c>
      <c r="F141">
        <f t="shared" si="10"/>
        <v>5.2109531013810884E-7</v>
      </c>
      <c r="G141" t="str">
        <f t="shared" si="11"/>
        <v>&lt; $10</v>
      </c>
    </row>
    <row r="142" spans="1:7" x14ac:dyDescent="0.3">
      <c r="A142" s="18" t="s">
        <v>921</v>
      </c>
      <c r="B142" s="19" t="s">
        <v>921</v>
      </c>
      <c r="C142" s="19">
        <v>6.9500000000000006E-2</v>
      </c>
      <c r="D142" s="19">
        <v>3.2000000000000002E-3</v>
      </c>
      <c r="E142">
        <f t="shared" si="9"/>
        <v>6.9497776071165723E-2</v>
      </c>
      <c r="F142">
        <f t="shared" si="10"/>
        <v>2.2239288342829067E-6</v>
      </c>
      <c r="G142" t="str">
        <f t="shared" si="11"/>
        <v>&lt; $10</v>
      </c>
    </row>
    <row r="143" spans="1:7" x14ac:dyDescent="0.3">
      <c r="A143" s="20" t="s">
        <v>926</v>
      </c>
      <c r="B143" s="21" t="s">
        <v>927</v>
      </c>
      <c r="C143" s="21">
        <v>9.06</v>
      </c>
      <c r="D143" s="21">
        <v>1.1900000000000001E-2</v>
      </c>
      <c r="E143">
        <f t="shared" si="9"/>
        <v>9.0589219882833945</v>
      </c>
      <c r="F143">
        <f t="shared" si="10"/>
        <v>1.0780117166060421E-3</v>
      </c>
      <c r="G143" t="str">
        <f t="shared" si="11"/>
        <v>&lt; $10</v>
      </c>
    </row>
    <row r="144" spans="1:7" x14ac:dyDescent="0.3">
      <c r="A144" s="18" t="s">
        <v>932</v>
      </c>
      <c r="B144" s="19" t="s">
        <v>933</v>
      </c>
      <c r="C144" s="19">
        <v>0.30370000000000003</v>
      </c>
      <c r="D144" s="19">
        <v>1.1900000000000001E-2</v>
      </c>
      <c r="E144">
        <f t="shared" si="9"/>
        <v>0.30366386400018403</v>
      </c>
      <c r="F144">
        <f t="shared" si="10"/>
        <v>3.6135999816000464E-5</v>
      </c>
      <c r="G144" t="str">
        <f t="shared" si="11"/>
        <v>&lt; $10</v>
      </c>
    </row>
    <row r="145" spans="1:7" x14ac:dyDescent="0.3">
      <c r="A145" s="20" t="s">
        <v>938</v>
      </c>
      <c r="B145" s="21" t="s">
        <v>939</v>
      </c>
      <c r="C145" s="21">
        <v>5.1999999999999998E-3</v>
      </c>
      <c r="D145" s="21">
        <v>9.1000000000000004E-3</v>
      </c>
      <c r="E145">
        <f t="shared" si="9"/>
        <v>5.1995268430572814E-3</v>
      </c>
      <c r="F145">
        <f t="shared" si="10"/>
        <v>4.731569427183363E-7</v>
      </c>
      <c r="G145" t="str">
        <f t="shared" si="11"/>
        <v>&lt; $10</v>
      </c>
    </row>
    <row r="146" spans="1:7" x14ac:dyDescent="0.3">
      <c r="A146" s="18" t="s">
        <v>945</v>
      </c>
      <c r="B146" s="19" t="s">
        <v>946</v>
      </c>
      <c r="C146" s="19">
        <v>2.4400000000000002E-2</v>
      </c>
      <c r="D146" s="19">
        <v>2.9999999999999997E-4</v>
      </c>
      <c r="E146">
        <f t="shared" si="9"/>
        <v>2.4399926800219601E-2</v>
      </c>
      <c r="F146">
        <f t="shared" si="10"/>
        <v>7.3199780400295955E-8</v>
      </c>
      <c r="G146" t="str">
        <f t="shared" si="11"/>
        <v>&lt; $10</v>
      </c>
    </row>
    <row r="147" spans="1:7" x14ac:dyDescent="0.3">
      <c r="A147" s="20" t="s">
        <v>951</v>
      </c>
      <c r="B147" s="21" t="s">
        <v>952</v>
      </c>
      <c r="C147" s="21">
        <v>8.4400000000000003E-2</v>
      </c>
      <c r="D147" s="21">
        <v>1.3299999999999999E-2</v>
      </c>
      <c r="E147">
        <f t="shared" si="9"/>
        <v>8.438877629275307E-2</v>
      </c>
      <c r="F147">
        <f t="shared" si="10"/>
        <v>1.1223707246932335E-5</v>
      </c>
      <c r="G147" t="str">
        <f t="shared" si="11"/>
        <v>&lt; $10</v>
      </c>
    </row>
    <row r="148" spans="1:7" x14ac:dyDescent="0.3">
      <c r="A148" s="18" t="s">
        <v>968</v>
      </c>
      <c r="B148" s="19" t="s">
        <v>969</v>
      </c>
      <c r="C148" s="19">
        <v>6.9999999999999999E-4</v>
      </c>
      <c r="D148" s="19">
        <v>3.6900000000000002E-2</v>
      </c>
      <c r="E148">
        <f t="shared" si="9"/>
        <v>6.9974179527754253E-4</v>
      </c>
      <c r="F148">
        <f t="shared" si="10"/>
        <v>2.5820472245746164E-7</v>
      </c>
      <c r="G148" t="str">
        <f t="shared" si="11"/>
        <v>&lt; $10</v>
      </c>
    </row>
    <row r="149" spans="1:7" x14ac:dyDescent="0.3">
      <c r="A149" s="20" t="s">
        <v>975</v>
      </c>
      <c r="B149" s="21" t="s">
        <v>976</v>
      </c>
      <c r="C149" s="21">
        <v>2.76E-2</v>
      </c>
      <c r="D149" s="21">
        <v>1E-3</v>
      </c>
      <c r="E149">
        <f t="shared" si="9"/>
        <v>2.7599724002759968E-2</v>
      </c>
      <c r="F149">
        <f t="shared" si="10"/>
        <v>2.7599724003110615E-7</v>
      </c>
      <c r="G149" t="str">
        <f t="shared" si="11"/>
        <v>&lt; $10</v>
      </c>
    </row>
    <row r="150" spans="1:7" x14ac:dyDescent="0.3">
      <c r="A150" s="18" t="s">
        <v>981</v>
      </c>
      <c r="B150" s="19" t="s">
        <v>982</v>
      </c>
      <c r="C150" s="19">
        <v>3.8999999999999998E-3</v>
      </c>
      <c r="D150" s="19">
        <v>2.2000000000000001E-3</v>
      </c>
      <c r="E150">
        <f t="shared" si="9"/>
        <v>3.8999142018875583E-3</v>
      </c>
      <c r="F150">
        <f t="shared" si="10"/>
        <v>8.5798112441515945E-8</v>
      </c>
      <c r="G150" t="str">
        <f t="shared" si="11"/>
        <v>&lt; $10</v>
      </c>
    </row>
    <row r="151" spans="1:7" x14ac:dyDescent="0.3">
      <c r="A151" s="20" t="s">
        <v>991</v>
      </c>
      <c r="B151" s="21" t="s">
        <v>992</v>
      </c>
      <c r="C151" s="21">
        <v>0.20660000000000001</v>
      </c>
      <c r="D151" s="21">
        <v>9.7999999999999997E-3</v>
      </c>
      <c r="E151">
        <f t="shared" si="9"/>
        <v>0.20657975518399199</v>
      </c>
      <c r="F151">
        <f t="shared" si="10"/>
        <v>2.0244816008013755E-5</v>
      </c>
      <c r="G151" t="str">
        <f t="shared" si="11"/>
        <v>&lt; $10</v>
      </c>
    </row>
    <row r="152" spans="1:7" x14ac:dyDescent="0.3">
      <c r="A152" s="18" t="s">
        <v>998</v>
      </c>
      <c r="B152" s="19" t="s">
        <v>999</v>
      </c>
      <c r="C152" s="19">
        <v>8.9999999999999998E-4</v>
      </c>
      <c r="D152" s="19">
        <v>2.9999999999999997E-4</v>
      </c>
      <c r="E152">
        <f t="shared" si="9"/>
        <v>8.999973000081E-4</v>
      </c>
      <c r="F152">
        <f t="shared" si="10"/>
        <v>2.6999918999789235E-9</v>
      </c>
      <c r="G152" t="str">
        <f t="shared" si="11"/>
        <v>&lt; $10</v>
      </c>
    </row>
    <row r="153" spans="1:7" x14ac:dyDescent="0.3">
      <c r="A153" s="20" t="s">
        <v>1004</v>
      </c>
      <c r="B153" s="21" t="s">
        <v>1005</v>
      </c>
      <c r="C153" s="21">
        <v>8.0000000000000004E-4</v>
      </c>
      <c r="D153" s="21">
        <v>6.8999999999999999E-3</v>
      </c>
      <c r="E153">
        <f t="shared" si="9"/>
        <v>7.9994480380853722E-4</v>
      </c>
      <c r="F153">
        <f t="shared" si="10"/>
        <v>5.5196191462813897E-8</v>
      </c>
      <c r="G153" t="str">
        <f t="shared" si="11"/>
        <v>&lt; $10</v>
      </c>
    </row>
    <row r="154" spans="1:7" x14ac:dyDescent="0.3">
      <c r="A154" s="18" t="s">
        <v>1015</v>
      </c>
      <c r="B154" s="19" t="s">
        <v>1016</v>
      </c>
      <c r="C154" s="19">
        <v>0.16200000000000001</v>
      </c>
      <c r="D154" s="19">
        <v>2.7000000000000001E-3</v>
      </c>
      <c r="E154">
        <f t="shared" si="9"/>
        <v>0.16199562611809482</v>
      </c>
      <c r="F154">
        <f t="shared" si="10"/>
        <v>4.3738819051897249E-6</v>
      </c>
      <c r="G154" t="str">
        <f t="shared" si="11"/>
        <v>&lt; $10</v>
      </c>
    </row>
    <row r="155" spans="1:7" x14ac:dyDescent="0.3">
      <c r="A155" s="20" t="s">
        <v>1022</v>
      </c>
      <c r="B155" s="21" t="s">
        <v>1023</v>
      </c>
      <c r="C155" s="21">
        <v>1.1999999999999999E-3</v>
      </c>
      <c r="D155" s="21">
        <v>5.4000000000000003E-3</v>
      </c>
      <c r="E155">
        <f t="shared" si="9"/>
        <v>1.1999352034990109E-3</v>
      </c>
      <c r="F155">
        <f t="shared" si="10"/>
        <v>6.4796500989002664E-8</v>
      </c>
      <c r="G155" t="str">
        <f t="shared" si="11"/>
        <v>&lt; $10</v>
      </c>
    </row>
    <row r="156" spans="1:7" x14ac:dyDescent="0.3">
      <c r="A156" s="18" t="s">
        <v>1029</v>
      </c>
      <c r="B156" s="19" t="s">
        <v>1029</v>
      </c>
      <c r="C156" s="19">
        <v>4.0000000000000002E-4</v>
      </c>
      <c r="D156" s="19">
        <v>9.5999999999999992E-3</v>
      </c>
      <c r="E156">
        <f t="shared" si="9"/>
        <v>3.9996160368604614E-4</v>
      </c>
      <c r="F156">
        <f t="shared" si="10"/>
        <v>3.8396313953878523E-8</v>
      </c>
      <c r="G156" t="str">
        <f t="shared" si="11"/>
        <v>&lt; $10</v>
      </c>
    </row>
    <row r="157" spans="1:7" x14ac:dyDescent="0.3">
      <c r="A157" s="20" t="s">
        <v>1035</v>
      </c>
      <c r="B157" s="21" t="s">
        <v>1036</v>
      </c>
      <c r="C157" s="21">
        <v>5.3999999999999999E-2</v>
      </c>
      <c r="D157" s="21">
        <v>1.6000000000000001E-3</v>
      </c>
      <c r="E157">
        <f t="shared" si="9"/>
        <v>5.3999136013823779E-2</v>
      </c>
      <c r="F157">
        <f t="shared" si="10"/>
        <v>8.6398617622079898E-7</v>
      </c>
      <c r="G157" t="str">
        <f t="shared" si="11"/>
        <v>&lt; $10</v>
      </c>
    </row>
    <row r="158" spans="1:7" x14ac:dyDescent="0.3">
      <c r="A158" s="18" t="s">
        <v>1041</v>
      </c>
      <c r="B158" s="19" t="s">
        <v>1042</v>
      </c>
      <c r="C158" s="19">
        <v>1.32E-2</v>
      </c>
      <c r="D158" s="19">
        <v>1.12E-2</v>
      </c>
      <c r="E158">
        <f t="shared" si="9"/>
        <v>1.3198521765562259E-2</v>
      </c>
      <c r="F158">
        <f t="shared" si="10"/>
        <v>1.4782344377409912E-6</v>
      </c>
      <c r="G158" t="str">
        <f t="shared" si="11"/>
        <v>&lt; $10</v>
      </c>
    </row>
    <row r="159" spans="1:7" x14ac:dyDescent="0.3">
      <c r="A159" s="20" t="s">
        <v>1048</v>
      </c>
      <c r="B159" s="21" t="s">
        <v>1049</v>
      </c>
      <c r="C159" s="21">
        <v>4.1999999999999997E-3</v>
      </c>
      <c r="D159" s="21">
        <v>2.9999999999999997E-4</v>
      </c>
      <c r="E159">
        <f t="shared" si="9"/>
        <v>4.1999874000377994E-3</v>
      </c>
      <c r="F159">
        <f t="shared" si="10"/>
        <v>1.2599962200335324E-8</v>
      </c>
      <c r="G159" t="str">
        <f t="shared" si="11"/>
        <v>&lt; $10</v>
      </c>
    </row>
    <row r="160" spans="1:7" x14ac:dyDescent="0.3">
      <c r="A160" s="18" t="s">
        <v>1054</v>
      </c>
      <c r="B160" s="19" t="s">
        <v>1055</v>
      </c>
      <c r="C160" s="19">
        <v>3.6499999999999998E-2</v>
      </c>
      <c r="D160" s="19">
        <v>2.8999999999999998E-3</v>
      </c>
      <c r="E160">
        <f t="shared" si="9"/>
        <v>3.6498941530695606E-2</v>
      </c>
      <c r="F160">
        <f t="shared" si="10"/>
        <v>1.0584693043921845E-6</v>
      </c>
      <c r="G160" t="str">
        <f t="shared" si="11"/>
        <v>&lt; $10</v>
      </c>
    </row>
    <row r="161" spans="1:7" x14ac:dyDescent="0.3">
      <c r="A161" s="20" t="s">
        <v>1061</v>
      </c>
      <c r="B161" s="21" t="s">
        <v>1062</v>
      </c>
      <c r="C161" s="21">
        <v>2.9999999999999997E-4</v>
      </c>
      <c r="D161" s="21">
        <v>0</v>
      </c>
      <c r="E161">
        <f t="shared" si="9"/>
        <v>2.9999999999999997E-4</v>
      </c>
      <c r="F161">
        <f t="shared" si="10"/>
        <v>0</v>
      </c>
      <c r="G161" t="str">
        <f t="shared" si="11"/>
        <v>&lt; $10</v>
      </c>
    </row>
    <row r="162" spans="1:7" x14ac:dyDescent="0.3">
      <c r="A162" s="18" t="s">
        <v>1067</v>
      </c>
      <c r="B162" s="19" t="s">
        <v>1068</v>
      </c>
      <c r="C162" s="19">
        <v>3.7000000000000002E-3</v>
      </c>
      <c r="D162" s="19">
        <v>7.4000000000000003E-3</v>
      </c>
      <c r="E162">
        <f t="shared" si="9"/>
        <v>3.6997262202597011E-3</v>
      </c>
      <c r="F162">
        <f t="shared" si="10"/>
        <v>2.7377974029909116E-7</v>
      </c>
      <c r="G162" t="str">
        <f t="shared" si="11"/>
        <v>&lt; $10</v>
      </c>
    </row>
    <row r="163" spans="1:7" x14ac:dyDescent="0.3">
      <c r="A163" s="20" t="s">
        <v>1074</v>
      </c>
      <c r="B163" s="21" t="s">
        <v>1075</v>
      </c>
      <c r="C163" s="21">
        <v>5.0000000000000001E-3</v>
      </c>
      <c r="D163" s="21">
        <v>1.6999999999999999E-3</v>
      </c>
      <c r="E163">
        <f t="shared" si="9"/>
        <v>4.9999150014449758E-3</v>
      </c>
      <c r="F163">
        <f t="shared" si="10"/>
        <v>8.4998555024279332E-8</v>
      </c>
      <c r="G163" t="str">
        <f t="shared" si="11"/>
        <v>&lt; $10</v>
      </c>
    </row>
    <row r="164" spans="1:7" x14ac:dyDescent="0.3">
      <c r="A164" s="18" t="s">
        <v>1081</v>
      </c>
      <c r="B164" s="19" t="s">
        <v>1082</v>
      </c>
      <c r="C164" s="19">
        <v>3.5000000000000001E-3</v>
      </c>
      <c r="D164" s="19">
        <v>3.2000000000000002E-3</v>
      </c>
      <c r="E164">
        <f t="shared" si="9"/>
        <v>3.4998880035838854E-3</v>
      </c>
      <c r="F164">
        <f t="shared" si="10"/>
        <v>1.1199641611467012E-7</v>
      </c>
      <c r="G164" t="str">
        <f t="shared" si="11"/>
        <v>&lt; $10</v>
      </c>
    </row>
    <row r="165" spans="1:7" x14ac:dyDescent="0.3">
      <c r="A165" s="20" t="s">
        <v>1091</v>
      </c>
      <c r="B165" s="21" t="s">
        <v>1092</v>
      </c>
      <c r="C165" s="21">
        <v>5.7000000000000002E-3</v>
      </c>
      <c r="D165" s="21">
        <v>4.1000000000000003E-3</v>
      </c>
      <c r="E165">
        <f t="shared" si="9"/>
        <v>5.6997663095813078E-3</v>
      </c>
      <c r="F165">
        <f t="shared" si="10"/>
        <v>2.3369041869236024E-7</v>
      </c>
      <c r="G165" t="str">
        <f t="shared" si="11"/>
        <v>&lt; $10</v>
      </c>
    </row>
    <row r="166" spans="1:7" x14ac:dyDescent="0.3">
      <c r="A166" s="18" t="s">
        <v>1097</v>
      </c>
      <c r="B166" s="19" t="s">
        <v>1098</v>
      </c>
      <c r="C166" s="19">
        <v>2.63</v>
      </c>
      <c r="D166" s="19">
        <v>1.66E-2</v>
      </c>
      <c r="E166">
        <f t="shared" si="9"/>
        <v>2.6295634924602513</v>
      </c>
      <c r="F166">
        <f t="shared" si="10"/>
        <v>4.3650753974855405E-4</v>
      </c>
      <c r="G166" t="str">
        <f t="shared" si="11"/>
        <v>&lt; $10</v>
      </c>
    </row>
    <row r="167" spans="1:7" x14ac:dyDescent="0.3">
      <c r="A167" s="20" t="s">
        <v>1104</v>
      </c>
      <c r="B167" s="21" t="s">
        <v>1105</v>
      </c>
      <c r="C167" s="21">
        <v>7.22E-2</v>
      </c>
      <c r="D167" s="21">
        <v>7.1999999999999998E-3</v>
      </c>
      <c r="E167">
        <f t="shared" si="9"/>
        <v>7.2194801974257844E-2</v>
      </c>
      <c r="F167">
        <f t="shared" si="10"/>
        <v>5.1980257421563314E-6</v>
      </c>
      <c r="G167" t="str">
        <f t="shared" si="11"/>
        <v>&lt; $10</v>
      </c>
    </row>
    <row r="168" spans="1:7" x14ac:dyDescent="0.3">
      <c r="A168" s="18" t="s">
        <v>1110</v>
      </c>
      <c r="B168" s="19" t="s">
        <v>1111</v>
      </c>
      <c r="C168" s="19">
        <v>2.7000000000000001E-3</v>
      </c>
      <c r="D168" s="19">
        <v>3.3E-3</v>
      </c>
      <c r="E168">
        <f t="shared" si="9"/>
        <v>2.6999109029402033E-3</v>
      </c>
      <c r="F168">
        <f t="shared" si="10"/>
        <v>8.909705979682353E-8</v>
      </c>
      <c r="G168" t="str">
        <f t="shared" si="11"/>
        <v>&lt; $10</v>
      </c>
    </row>
    <row r="169" spans="1:7" x14ac:dyDescent="0.3">
      <c r="A169" s="20" t="s">
        <v>1116</v>
      </c>
      <c r="B169" s="21" t="s">
        <v>1117</v>
      </c>
      <c r="C169" s="21">
        <v>0.33800000000000002</v>
      </c>
      <c r="D169" s="21">
        <v>1.6199999999999999E-2</v>
      </c>
      <c r="E169">
        <f t="shared" si="9"/>
        <v>0.33794525286903526</v>
      </c>
      <c r="F169">
        <f t="shared" si="10"/>
        <v>5.4747130964760693E-5</v>
      </c>
      <c r="G169" t="str">
        <f t="shared" si="11"/>
        <v>&lt; $10</v>
      </c>
    </row>
    <row r="170" spans="1:7" x14ac:dyDescent="0.3">
      <c r="A170" s="18" t="s">
        <v>1123</v>
      </c>
      <c r="B170" s="19" t="s">
        <v>1124</v>
      </c>
      <c r="C170" s="19">
        <v>8.8499999999999995E-2</v>
      </c>
      <c r="D170" s="19">
        <v>8.9999999999999998E-4</v>
      </c>
      <c r="E170">
        <f t="shared" si="9"/>
        <v>8.8499203507168431E-2</v>
      </c>
      <c r="F170">
        <f t="shared" si="10"/>
        <v>7.9649283156457695E-7</v>
      </c>
      <c r="G170" t="str">
        <f t="shared" si="11"/>
        <v>&lt; $10</v>
      </c>
    </row>
    <row r="171" spans="1:7" x14ac:dyDescent="0.3">
      <c r="A171" s="20" t="s">
        <v>1129</v>
      </c>
      <c r="B171" s="21" t="s">
        <v>1130</v>
      </c>
      <c r="C171" s="21">
        <v>1.7899999999999999E-2</v>
      </c>
      <c r="D171" s="21">
        <v>6.4000000000000003E-3</v>
      </c>
      <c r="E171">
        <f t="shared" si="9"/>
        <v>1.7898854473313706E-2</v>
      </c>
      <c r="F171">
        <f t="shared" si="10"/>
        <v>1.1455266862928082E-6</v>
      </c>
      <c r="G171" t="str">
        <f t="shared" si="11"/>
        <v>&lt; $10</v>
      </c>
    </row>
    <row r="172" spans="1:7" x14ac:dyDescent="0.3">
      <c r="A172" s="18" t="s">
        <v>1136</v>
      </c>
      <c r="B172" s="19" t="s">
        <v>1137</v>
      </c>
      <c r="C172" s="19">
        <v>5.5399999999999998E-2</v>
      </c>
      <c r="D172" s="19">
        <v>1.4E-3</v>
      </c>
      <c r="E172">
        <f t="shared" si="9"/>
        <v>5.5399224410858247E-2</v>
      </c>
      <c r="F172">
        <f t="shared" si="10"/>
        <v>7.7558914175074323E-7</v>
      </c>
      <c r="G172" t="str">
        <f t="shared" si="11"/>
        <v>&lt; $10</v>
      </c>
    </row>
    <row r="173" spans="1:7" x14ac:dyDescent="0.3">
      <c r="A173" s="20" t="s">
        <v>1142</v>
      </c>
      <c r="B173" s="21" t="s">
        <v>1143</v>
      </c>
      <c r="C173" s="21">
        <v>3.1099999999999999E-2</v>
      </c>
      <c r="D173" s="21">
        <v>1.2999999999999999E-3</v>
      </c>
      <c r="E173">
        <f t="shared" si="9"/>
        <v>3.109959570525583E-2</v>
      </c>
      <c r="F173">
        <f t="shared" si="10"/>
        <v>4.0429474416903144E-7</v>
      </c>
      <c r="G173" t="str">
        <f t="shared" si="11"/>
        <v>&lt; $10</v>
      </c>
    </row>
    <row r="174" spans="1:7" x14ac:dyDescent="0.3">
      <c r="A174" s="18" t="s">
        <v>1148</v>
      </c>
      <c r="B174" s="19" t="s">
        <v>1149</v>
      </c>
      <c r="C174" s="19">
        <v>5.7000000000000002E-3</v>
      </c>
      <c r="D174" s="19">
        <v>2.3E-3</v>
      </c>
      <c r="E174">
        <f t="shared" si="9"/>
        <v>5.6998689030152306E-3</v>
      </c>
      <c r="F174">
        <f t="shared" si="10"/>
        <v>1.3109698476961029E-7</v>
      </c>
      <c r="G174" t="str">
        <f t="shared" si="11"/>
        <v>&lt; $10</v>
      </c>
    </row>
    <row r="175" spans="1:7" x14ac:dyDescent="0.3">
      <c r="A175" s="20" t="s">
        <v>1154</v>
      </c>
      <c r="B175" s="21" t="s">
        <v>1155</v>
      </c>
      <c r="C175" s="21">
        <v>5.2200000000000003E-2</v>
      </c>
      <c r="D175" s="21">
        <v>3.3E-3</v>
      </c>
      <c r="E175">
        <f t="shared" si="9"/>
        <v>5.2198277456843932E-2</v>
      </c>
      <c r="F175">
        <f t="shared" si="10"/>
        <v>1.7225431560713433E-6</v>
      </c>
      <c r="G175" t="str">
        <f t="shared" si="11"/>
        <v>&lt; $10</v>
      </c>
    </row>
    <row r="176" spans="1:7" x14ac:dyDescent="0.3">
      <c r="A176" s="18" t="s">
        <v>1165</v>
      </c>
      <c r="B176" s="19" t="s">
        <v>1166</v>
      </c>
      <c r="C176" s="19">
        <v>0.30230000000000001</v>
      </c>
      <c r="D176" s="19">
        <v>4.1000000000000003E-3</v>
      </c>
      <c r="E176">
        <f t="shared" si="9"/>
        <v>0.30228760620814549</v>
      </c>
      <c r="F176">
        <f t="shared" si="10"/>
        <v>1.2393791854525826E-5</v>
      </c>
      <c r="G176" t="str">
        <f t="shared" si="11"/>
        <v>&lt; $10</v>
      </c>
    </row>
    <row r="177" spans="1:7" x14ac:dyDescent="0.3">
      <c r="A177" s="20" t="s">
        <v>1171</v>
      </c>
      <c r="B177" s="21" t="s">
        <v>1172</v>
      </c>
      <c r="C177" s="21">
        <v>3.7999999999999999E-2</v>
      </c>
      <c r="D177" s="21">
        <v>1.1000000000000001E-3</v>
      </c>
      <c r="E177">
        <f t="shared" si="9"/>
        <v>3.7999582004597951E-2</v>
      </c>
      <c r="F177">
        <f t="shared" si="10"/>
        <v>4.1799540204806584E-7</v>
      </c>
      <c r="G177" t="str">
        <f t="shared" si="11"/>
        <v>&lt; $10</v>
      </c>
    </row>
    <row r="178" spans="1:7" x14ac:dyDescent="0.3">
      <c r="A178" s="18" t="s">
        <v>1177</v>
      </c>
      <c r="B178" s="19" t="s">
        <v>1178</v>
      </c>
      <c r="C178" s="19">
        <v>8.3599999999999994E-2</v>
      </c>
      <c r="D178" s="19">
        <v>1.0500000000000001E-2</v>
      </c>
      <c r="E178">
        <f t="shared" si="9"/>
        <v>8.3591222921593225E-2</v>
      </c>
      <c r="F178">
        <f t="shared" si="10"/>
        <v>8.777078406768668E-6</v>
      </c>
      <c r="G178" t="str">
        <f t="shared" si="11"/>
        <v>&lt; $10</v>
      </c>
    </row>
    <row r="179" spans="1:7" x14ac:dyDescent="0.3">
      <c r="A179" s="20" t="s">
        <v>1184</v>
      </c>
      <c r="B179" s="21" t="s">
        <v>1185</v>
      </c>
      <c r="C179" s="21">
        <v>3.3E-3</v>
      </c>
      <c r="D179" s="21">
        <v>1.83E-2</v>
      </c>
      <c r="E179">
        <f t="shared" si="9"/>
        <v>3.2993962104934794E-3</v>
      </c>
      <c r="F179">
        <f t="shared" si="10"/>
        <v>6.0378950652055161E-7</v>
      </c>
      <c r="G179" t="str">
        <f t="shared" si="11"/>
        <v>&lt; $10</v>
      </c>
    </row>
    <row r="180" spans="1:7" x14ac:dyDescent="0.3">
      <c r="A180" s="18" t="s">
        <v>1195</v>
      </c>
      <c r="B180" s="19" t="s">
        <v>1196</v>
      </c>
      <c r="C180" s="19">
        <v>2.0400000000000001E-2</v>
      </c>
      <c r="D180" s="19">
        <v>2.9999999999999997E-4</v>
      </c>
      <c r="E180">
        <f t="shared" si="9"/>
        <v>2.0399938800183603E-2</v>
      </c>
      <c r="F180">
        <f t="shared" si="10"/>
        <v>6.1199816398654905E-8</v>
      </c>
      <c r="G180" t="str">
        <f t="shared" si="11"/>
        <v>&lt; $10</v>
      </c>
    </row>
    <row r="181" spans="1:7" x14ac:dyDescent="0.3">
      <c r="A181" s="20" t="s">
        <v>1201</v>
      </c>
      <c r="B181" s="21" t="s">
        <v>1202</v>
      </c>
      <c r="C181" s="21">
        <v>1.8E-3</v>
      </c>
      <c r="D181" s="21">
        <v>4.2700000000000002E-2</v>
      </c>
      <c r="E181">
        <f t="shared" si="9"/>
        <v>1.7992317280521217E-3</v>
      </c>
      <c r="F181">
        <f t="shared" si="10"/>
        <v>7.6827194787822822E-7</v>
      </c>
      <c r="G181" t="str">
        <f t="shared" si="11"/>
        <v>&lt; $10</v>
      </c>
    </row>
    <row r="182" spans="1:7" x14ac:dyDescent="0.3">
      <c r="A182" s="18" t="s">
        <v>1207</v>
      </c>
      <c r="B182" s="19" t="s">
        <v>1208</v>
      </c>
      <c r="C182" s="19">
        <v>3.3799999999999997E-2</v>
      </c>
      <c r="D182" s="19">
        <v>7.4000000000000003E-3</v>
      </c>
      <c r="E182">
        <f t="shared" si="9"/>
        <v>3.3797498985075107E-2</v>
      </c>
      <c r="F182">
        <f t="shared" si="10"/>
        <v>2.5010149248896885E-6</v>
      </c>
      <c r="G182" t="str">
        <f t="shared" si="11"/>
        <v>&lt; $10</v>
      </c>
    </row>
    <row r="183" spans="1:7" x14ac:dyDescent="0.3">
      <c r="A183" s="20" t="s">
        <v>1213</v>
      </c>
      <c r="B183" s="21" t="s">
        <v>1214</v>
      </c>
      <c r="C183" s="21">
        <v>1.5900000000000001E-2</v>
      </c>
      <c r="D183" s="21">
        <v>1.4E-3</v>
      </c>
      <c r="E183">
        <f t="shared" si="9"/>
        <v>1.5899777403116357E-2</v>
      </c>
      <c r="F183">
        <f t="shared" si="10"/>
        <v>2.2259688364431596E-7</v>
      </c>
      <c r="G183" t="str">
        <f t="shared" si="11"/>
        <v>&lt; $10</v>
      </c>
    </row>
    <row r="184" spans="1:7" x14ac:dyDescent="0.3">
      <c r="A184" s="18" t="s">
        <v>1219</v>
      </c>
      <c r="B184" s="19" t="s">
        <v>1220</v>
      </c>
      <c r="C184" s="19">
        <v>6.6E-3</v>
      </c>
      <c r="D184" s="19">
        <v>1.2999999999999999E-3</v>
      </c>
      <c r="E184">
        <f t="shared" si="9"/>
        <v>6.5999142011153849E-3</v>
      </c>
      <c r="F184">
        <f t="shared" si="10"/>
        <v>8.5798884615073678E-8</v>
      </c>
      <c r="G184" t="str">
        <f t="shared" si="11"/>
        <v>&lt; $10</v>
      </c>
    </row>
    <row r="185" spans="1:7" x14ac:dyDescent="0.3">
      <c r="A185" s="20" t="s">
        <v>1225</v>
      </c>
      <c r="B185" s="21" t="s">
        <v>1226</v>
      </c>
      <c r="C185" s="21">
        <v>1.1000000000000001E-3</v>
      </c>
      <c r="D185" s="21">
        <v>5.7999999999999996E-3</v>
      </c>
      <c r="E185">
        <f t="shared" si="9"/>
        <v>1.0999362037001856E-3</v>
      </c>
      <c r="F185">
        <f t="shared" si="10"/>
        <v>6.3796299814514873E-8</v>
      </c>
      <c r="G185" t="str">
        <f t="shared" si="11"/>
        <v>&lt; $10</v>
      </c>
    </row>
    <row r="186" spans="1:7" x14ac:dyDescent="0.3">
      <c r="A186" s="18" t="s">
        <v>1231</v>
      </c>
      <c r="B186" s="19" t="s">
        <v>1232</v>
      </c>
      <c r="C186" s="19">
        <v>1E-4</v>
      </c>
      <c r="D186" s="19">
        <v>2.0000000000000001E-4</v>
      </c>
      <c r="E186">
        <f t="shared" si="9"/>
        <v>9.9999800000399994E-5</v>
      </c>
      <c r="F186">
        <f t="shared" si="10"/>
        <v>1.9999960001115206E-10</v>
      </c>
      <c r="G186" t="str">
        <f t="shared" si="11"/>
        <v>&lt; $10</v>
      </c>
    </row>
    <row r="187" spans="1:7" x14ac:dyDescent="0.3">
      <c r="A187" s="20" t="s">
        <v>1237</v>
      </c>
      <c r="B187" s="21" t="s">
        <v>1238</v>
      </c>
      <c r="C187" s="21">
        <v>7.3000000000000001E-3</v>
      </c>
      <c r="D187" s="21">
        <v>0</v>
      </c>
      <c r="E187">
        <f t="shared" si="9"/>
        <v>7.3000000000000001E-3</v>
      </c>
      <c r="F187">
        <f t="shared" si="10"/>
        <v>0</v>
      </c>
      <c r="G187" t="str">
        <f t="shared" si="11"/>
        <v>&lt; $10</v>
      </c>
    </row>
    <row r="188" spans="1:7" x14ac:dyDescent="0.3">
      <c r="A188" s="22" t="s">
        <v>1243</v>
      </c>
      <c r="B188" s="23" t="s">
        <v>1243</v>
      </c>
      <c r="C188" s="23">
        <v>1.9E-3</v>
      </c>
      <c r="D188" s="23">
        <v>2.5999999999999999E-3</v>
      </c>
      <c r="E188">
        <f t="shared" si="9"/>
        <v>1.8999506012843663E-3</v>
      </c>
      <c r="F188">
        <f t="shared" si="10"/>
        <v>4.939871563365561E-8</v>
      </c>
      <c r="G188" t="str">
        <f t="shared" si="11"/>
        <v>&lt; $10</v>
      </c>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BF5AD-7CC9-4877-805C-E8E0F1DC9570}">
  <sheetPr codeName="Sheet8"/>
  <dimension ref="A1:I188"/>
  <sheetViews>
    <sheetView topLeftCell="B1" zoomScale="82" zoomScaleNormal="61" workbookViewId="0">
      <selection activeCell="Q18" sqref="Q18"/>
    </sheetView>
  </sheetViews>
  <sheetFormatPr defaultRowHeight="14.4" x14ac:dyDescent="0.3"/>
  <cols>
    <col min="1" max="1" width="31.109375" bestFit="1" customWidth="1"/>
    <col min="2" max="2" width="18.33203125" customWidth="1"/>
    <col min="3" max="3" width="11.6640625" bestFit="1" customWidth="1"/>
    <col min="5" max="5" width="15" bestFit="1" customWidth="1"/>
    <col min="6" max="6" width="23.21875" bestFit="1" customWidth="1"/>
  </cols>
  <sheetData>
    <row r="1" spans="1:9" ht="15" thickBot="1" x14ac:dyDescent="0.35">
      <c r="A1" s="24" t="s">
        <v>0</v>
      </c>
      <c r="B1" t="s">
        <v>5</v>
      </c>
      <c r="C1" t="s">
        <v>1296</v>
      </c>
      <c r="E1" s="2" t="s">
        <v>1296</v>
      </c>
      <c r="F1" t="s">
        <v>1298</v>
      </c>
    </row>
    <row r="2" spans="1:9" ht="15" thickTop="1" x14ac:dyDescent="0.3">
      <c r="A2" s="18" t="s">
        <v>7</v>
      </c>
      <c r="B2" s="19">
        <v>61196410006</v>
      </c>
      <c r="C2" t="str">
        <f>IF(OR(
LEFT(Table5[[#This Row],[Coin Name]],1)="A",
LEFT(Table5[[#This Row],[Coin Name]],1)="E",
LEFT(Table5[[#This Row],[Coin Name]],1)="I",
LEFT(Table5[[#This Row],[Coin Name]],1)="O",
LEFT(Table5[[#This Row],[Coin Name]],1)="U",
LEFT(Table5[[#This Row],[Coin Name]],1)="B",
LEFT(Table5[[#This Row],[Coin Name]],1)="C",
LEFT(Table5[[#This Row],[Coin Name]],1)="D"
), "Yes", "No")</f>
        <v>Yes</v>
      </c>
    </row>
    <row r="3" spans="1:9" x14ac:dyDescent="0.3">
      <c r="A3" s="20" t="s">
        <v>14</v>
      </c>
      <c r="B3" s="21">
        <v>43714609700</v>
      </c>
      <c r="C3" t="str">
        <f>IF(OR(
LEFT(Table5[[#This Row],[Coin Name]],1)="A",
LEFT(Table5[[#This Row],[Coin Name]],1)="E",
LEFT(Table5[[#This Row],[Coin Name]],1)="I",
LEFT(Table5[[#This Row],[Coin Name]],1)="O",
LEFT(Table5[[#This Row],[Coin Name]],1)="U",
LEFT(Table5[[#This Row],[Coin Name]],1)="B",
LEFT(Table5[[#This Row],[Coin Name]],1)="C",
LEFT(Table5[[#This Row],[Coin Name]],1)="D"
), "Yes", "No")</f>
        <v>Yes</v>
      </c>
      <c r="E3" s="2" t="s">
        <v>1257</v>
      </c>
      <c r="F3" t="s">
        <v>1297</v>
      </c>
    </row>
    <row r="4" spans="1:9" ht="33.6" x14ac:dyDescent="0.65">
      <c r="A4" s="18" t="s">
        <v>21</v>
      </c>
      <c r="B4" s="19">
        <v>6447508710</v>
      </c>
      <c r="C4" t="str">
        <f>IF(OR(
LEFT(Table5[[#This Row],[Coin Name]],1)="A",
LEFT(Table5[[#This Row],[Coin Name]],1)="E",
LEFT(Table5[[#This Row],[Coin Name]],1)="I",
LEFT(Table5[[#This Row],[Coin Name]],1)="O",
LEFT(Table5[[#This Row],[Coin Name]],1)="U",
LEFT(Table5[[#This Row],[Coin Name]],1)="B",
LEFT(Table5[[#This Row],[Coin Name]],1)="C",
LEFT(Table5[[#This Row],[Coin Name]],1)="D"
), "Yes", "No")</f>
        <v>No</v>
      </c>
      <c r="E4" s="3" t="s">
        <v>7</v>
      </c>
      <c r="F4">
        <v>61196410006</v>
      </c>
      <c r="I4" s="28"/>
    </row>
    <row r="5" spans="1:9" x14ac:dyDescent="0.3">
      <c r="A5" s="20" t="s">
        <v>27</v>
      </c>
      <c r="B5" s="21">
        <v>117252093277</v>
      </c>
      <c r="C5" t="str">
        <f>IF(OR(
LEFT(Table5[[#This Row],[Coin Name]],1)="A",
LEFT(Table5[[#This Row],[Coin Name]],1)="E",
LEFT(Table5[[#This Row],[Coin Name]],1)="I",
LEFT(Table5[[#This Row],[Coin Name]],1)="O",
LEFT(Table5[[#This Row],[Coin Name]],1)="U",
LEFT(Table5[[#This Row],[Coin Name]],1)="B",
LEFT(Table5[[#This Row],[Coin Name]],1)="C",
LEFT(Table5[[#This Row],[Coin Name]],1)="D"
), "Yes", "No")</f>
        <v>No</v>
      </c>
      <c r="E5" s="3" t="s">
        <v>14</v>
      </c>
      <c r="F5">
        <v>43714609700</v>
      </c>
    </row>
    <row r="6" spans="1:9" x14ac:dyDescent="0.3">
      <c r="A6" s="18" t="s">
        <v>34</v>
      </c>
      <c r="B6" s="19">
        <v>2278674127</v>
      </c>
      <c r="C6" t="str">
        <f>IF(OR(
LEFT(Table5[[#This Row],[Coin Name]],1)="A",
LEFT(Table5[[#This Row],[Coin Name]],1)="E",
LEFT(Table5[[#This Row],[Coin Name]],1)="I",
LEFT(Table5[[#This Row],[Coin Name]],1)="O",
LEFT(Table5[[#This Row],[Coin Name]],1)="U",
LEFT(Table5[[#This Row],[Coin Name]],1)="B",
LEFT(Table5[[#This Row],[Coin Name]],1)="C",
LEFT(Table5[[#This Row],[Coin Name]],1)="D"
), "Yes", "No")</f>
        <v>Yes</v>
      </c>
      <c r="E6" s="3" t="s">
        <v>47</v>
      </c>
      <c r="F6">
        <v>17027792821</v>
      </c>
    </row>
    <row r="7" spans="1:9" x14ac:dyDescent="0.3">
      <c r="A7" s="20" t="s">
        <v>40</v>
      </c>
      <c r="B7" s="21">
        <v>10127054144</v>
      </c>
      <c r="C7" t="str">
        <f>IF(OR(
LEFT(Table5[[#This Row],[Coin Name]],1)="A",
LEFT(Table5[[#This Row],[Coin Name]],1)="E",
LEFT(Table5[[#This Row],[Coin Name]],1)="I",
LEFT(Table5[[#This Row],[Coin Name]],1)="O",
LEFT(Table5[[#This Row],[Coin Name]],1)="U",
LEFT(Table5[[#This Row],[Coin Name]],1)="B",
LEFT(Table5[[#This Row],[Coin Name]],1)="C",
LEFT(Table5[[#This Row],[Coin Name]],1)="D"
), "Yes", "No")</f>
        <v>No</v>
      </c>
      <c r="E7" s="3" t="s">
        <v>34</v>
      </c>
      <c r="F7">
        <v>2278674127</v>
      </c>
    </row>
    <row r="8" spans="1:9" x14ac:dyDescent="0.3">
      <c r="A8" s="18" t="s">
        <v>47</v>
      </c>
      <c r="B8" s="19">
        <v>17027792821</v>
      </c>
      <c r="C8" t="str">
        <f>IF(OR(
LEFT(Table5[[#This Row],[Coin Name]],1)="A",
LEFT(Table5[[#This Row],[Coin Name]],1)="E",
LEFT(Table5[[#This Row],[Coin Name]],1)="I",
LEFT(Table5[[#This Row],[Coin Name]],1)="O",
LEFT(Table5[[#This Row],[Coin Name]],1)="U",
LEFT(Table5[[#This Row],[Coin Name]],1)="B",
LEFT(Table5[[#This Row],[Coin Name]],1)="C",
LEFT(Table5[[#This Row],[Coin Name]],1)="D"
), "Yes", "No")</f>
        <v>Yes</v>
      </c>
      <c r="E8" s="3" t="s">
        <v>53</v>
      </c>
      <c r="F8">
        <v>1961967012</v>
      </c>
    </row>
    <row r="9" spans="1:9" x14ac:dyDescent="0.3">
      <c r="A9" s="20" t="s">
        <v>53</v>
      </c>
      <c r="B9" s="21">
        <v>1961967012</v>
      </c>
      <c r="C9" t="str">
        <f>IF(OR(
LEFT(Table5[[#This Row],[Coin Name]],1)="A",
LEFT(Table5[[#This Row],[Coin Name]],1)="E",
LEFT(Table5[[#This Row],[Coin Name]],1)="I",
LEFT(Table5[[#This Row],[Coin Name]],1)="O",
LEFT(Table5[[#This Row],[Coin Name]],1)="U",
LEFT(Table5[[#This Row],[Coin Name]],1)="B",
LEFT(Table5[[#This Row],[Coin Name]],1)="C",
LEFT(Table5[[#This Row],[Coin Name]],1)="D"
), "Yes", "No")</f>
        <v>Yes</v>
      </c>
      <c r="E9" s="3" t="s">
        <v>67</v>
      </c>
      <c r="F9">
        <v>1153461846</v>
      </c>
    </row>
    <row r="10" spans="1:9" x14ac:dyDescent="0.3">
      <c r="A10" s="18" t="s">
        <v>60</v>
      </c>
      <c r="B10" s="19">
        <v>973139421</v>
      </c>
      <c r="C10" t="str">
        <f>IF(OR(
LEFT(Table5[[#This Row],[Coin Name]],1)="A",
LEFT(Table5[[#This Row],[Coin Name]],1)="E",
LEFT(Table5[[#This Row],[Coin Name]],1)="I",
LEFT(Table5[[#This Row],[Coin Name]],1)="O",
LEFT(Table5[[#This Row],[Coin Name]],1)="U",
LEFT(Table5[[#This Row],[Coin Name]],1)="B",
LEFT(Table5[[#This Row],[Coin Name]],1)="C",
LEFT(Table5[[#This Row],[Coin Name]],1)="D"
), "Yes", "No")</f>
        <v>No</v>
      </c>
      <c r="E10" s="3" t="s">
        <v>101</v>
      </c>
      <c r="F10">
        <v>29706225</v>
      </c>
    </row>
    <row r="11" spans="1:9" x14ac:dyDescent="0.3">
      <c r="A11" s="20" t="s">
        <v>67</v>
      </c>
      <c r="B11" s="21">
        <v>1153461846</v>
      </c>
      <c r="C11" t="str">
        <f>IF(OR(
LEFT(Table5[[#This Row],[Coin Name]],1)="A",
LEFT(Table5[[#This Row],[Coin Name]],1)="E",
LEFT(Table5[[#This Row],[Coin Name]],1)="I",
LEFT(Table5[[#This Row],[Coin Name]],1)="O",
LEFT(Table5[[#This Row],[Coin Name]],1)="U",
LEFT(Table5[[#This Row],[Coin Name]],1)="B",
LEFT(Table5[[#This Row],[Coin Name]],1)="C",
LEFT(Table5[[#This Row],[Coin Name]],1)="D"
), "Yes", "No")</f>
        <v>Yes</v>
      </c>
      <c r="E11" s="3" t="s">
        <v>88</v>
      </c>
      <c r="F11">
        <v>29038108</v>
      </c>
    </row>
    <row r="12" spans="1:9" x14ac:dyDescent="0.3">
      <c r="A12" s="18" t="s">
        <v>74</v>
      </c>
      <c r="B12" s="19">
        <v>64711407</v>
      </c>
      <c r="C12" t="str">
        <f>IF(OR(
LEFT(Table5[[#This Row],[Coin Name]],1)="A",
LEFT(Table5[[#This Row],[Coin Name]],1)="E",
LEFT(Table5[[#This Row],[Coin Name]],1)="I",
LEFT(Table5[[#This Row],[Coin Name]],1)="O",
LEFT(Table5[[#This Row],[Coin Name]],1)="U",
LEFT(Table5[[#This Row],[Coin Name]],1)="B",
LEFT(Table5[[#This Row],[Coin Name]],1)="C",
LEFT(Table5[[#This Row],[Coin Name]],1)="D"
), "Yes", "No")</f>
        <v>No</v>
      </c>
      <c r="E12" s="3" t="s">
        <v>378</v>
      </c>
      <c r="F12">
        <v>27805860</v>
      </c>
    </row>
    <row r="13" spans="1:9" x14ac:dyDescent="0.3">
      <c r="A13" s="20" t="s">
        <v>81</v>
      </c>
      <c r="B13" s="21">
        <v>71132312</v>
      </c>
      <c r="C13" t="str">
        <f>IF(OR(
LEFT(Table5[[#This Row],[Coin Name]],1)="A",
LEFT(Table5[[#This Row],[Coin Name]],1)="E",
LEFT(Table5[[#This Row],[Coin Name]],1)="I",
LEFT(Table5[[#This Row],[Coin Name]],1)="O",
LEFT(Table5[[#This Row],[Coin Name]],1)="U",
LEFT(Table5[[#This Row],[Coin Name]],1)="B",
LEFT(Table5[[#This Row],[Coin Name]],1)="C",
LEFT(Table5[[#This Row],[Coin Name]],1)="D"
), "Yes", "No")</f>
        <v>No</v>
      </c>
      <c r="E13" s="3" t="s">
        <v>134</v>
      </c>
      <c r="F13">
        <v>27296450</v>
      </c>
    </row>
    <row r="14" spans="1:9" x14ac:dyDescent="0.3">
      <c r="A14" s="18" t="s">
        <v>88</v>
      </c>
      <c r="B14" s="19">
        <v>29038108</v>
      </c>
      <c r="C14" t="str">
        <f>IF(OR(
LEFT(Table5[[#This Row],[Coin Name]],1)="A",
LEFT(Table5[[#This Row],[Coin Name]],1)="E",
LEFT(Table5[[#This Row],[Coin Name]],1)="I",
LEFT(Table5[[#This Row],[Coin Name]],1)="O",
LEFT(Table5[[#This Row],[Coin Name]],1)="U",
LEFT(Table5[[#This Row],[Coin Name]],1)="B",
LEFT(Table5[[#This Row],[Coin Name]],1)="C",
LEFT(Table5[[#This Row],[Coin Name]],1)="D"
), "Yes", "No")</f>
        <v>Yes</v>
      </c>
      <c r="E14" s="3" t="s">
        <v>1258</v>
      </c>
      <c r="F14">
        <v>127446762155</v>
      </c>
    </row>
    <row r="15" spans="1:9" x14ac:dyDescent="0.3">
      <c r="A15" s="20" t="s">
        <v>94</v>
      </c>
      <c r="B15" s="21">
        <v>24411942</v>
      </c>
      <c r="C15" t="str">
        <f>IF(OR(
LEFT(Table5[[#This Row],[Coin Name]],1)="A",
LEFT(Table5[[#This Row],[Coin Name]],1)="E",
LEFT(Table5[[#This Row],[Coin Name]],1)="I",
LEFT(Table5[[#This Row],[Coin Name]],1)="O",
LEFT(Table5[[#This Row],[Coin Name]],1)="U",
LEFT(Table5[[#This Row],[Coin Name]],1)="B",
LEFT(Table5[[#This Row],[Coin Name]],1)="C",
LEFT(Table5[[#This Row],[Coin Name]],1)="D"
), "Yes", "No")</f>
        <v>No</v>
      </c>
    </row>
    <row r="16" spans="1:9" x14ac:dyDescent="0.3">
      <c r="A16" s="18" t="s">
        <v>101</v>
      </c>
      <c r="B16" s="19">
        <v>29706225</v>
      </c>
      <c r="C16" t="str">
        <f>IF(OR(
LEFT(Table5[[#This Row],[Coin Name]],1)="A",
LEFT(Table5[[#This Row],[Coin Name]],1)="E",
LEFT(Table5[[#This Row],[Coin Name]],1)="I",
LEFT(Table5[[#This Row],[Coin Name]],1)="O",
LEFT(Table5[[#This Row],[Coin Name]],1)="U",
LEFT(Table5[[#This Row],[Coin Name]],1)="B",
LEFT(Table5[[#This Row],[Coin Name]],1)="C",
LEFT(Table5[[#This Row],[Coin Name]],1)="D"
), "Yes", "No")</f>
        <v>Yes</v>
      </c>
    </row>
    <row r="17" spans="1:3" x14ac:dyDescent="0.3">
      <c r="A17" s="20" t="s">
        <v>107</v>
      </c>
      <c r="B17" s="21">
        <v>21684159</v>
      </c>
      <c r="C17" t="str">
        <f>IF(OR(
LEFT(Table5[[#This Row],[Coin Name]],1)="A",
LEFT(Table5[[#This Row],[Coin Name]],1)="E",
LEFT(Table5[[#This Row],[Coin Name]],1)="I",
LEFT(Table5[[#This Row],[Coin Name]],1)="O",
LEFT(Table5[[#This Row],[Coin Name]],1)="U",
LEFT(Table5[[#This Row],[Coin Name]],1)="B",
LEFT(Table5[[#This Row],[Coin Name]],1)="C",
LEFT(Table5[[#This Row],[Coin Name]],1)="D"
), "Yes", "No")</f>
        <v>No</v>
      </c>
    </row>
    <row r="18" spans="1:3" x14ac:dyDescent="0.3">
      <c r="A18" s="18" t="s">
        <v>114</v>
      </c>
      <c r="B18" s="19">
        <v>7491105</v>
      </c>
      <c r="C18" t="str">
        <f>IF(OR(
LEFT(Table5[[#This Row],[Coin Name]],1)="A",
LEFT(Table5[[#This Row],[Coin Name]],1)="E",
LEFT(Table5[[#This Row],[Coin Name]],1)="I",
LEFT(Table5[[#This Row],[Coin Name]],1)="O",
LEFT(Table5[[#This Row],[Coin Name]],1)="U",
LEFT(Table5[[#This Row],[Coin Name]],1)="B",
LEFT(Table5[[#This Row],[Coin Name]],1)="C",
LEFT(Table5[[#This Row],[Coin Name]],1)="D"
), "Yes", "No")</f>
        <v>Yes</v>
      </c>
    </row>
    <row r="19" spans="1:3" x14ac:dyDescent="0.3">
      <c r="A19" s="20" t="s">
        <v>120</v>
      </c>
      <c r="B19" s="21">
        <v>23722335</v>
      </c>
      <c r="C19" t="str">
        <f>IF(OR(
LEFT(Table5[[#This Row],[Coin Name]],1)="A",
LEFT(Table5[[#This Row],[Coin Name]],1)="E",
LEFT(Table5[[#This Row],[Coin Name]],1)="I",
LEFT(Table5[[#This Row],[Coin Name]],1)="O",
LEFT(Table5[[#This Row],[Coin Name]],1)="U",
LEFT(Table5[[#This Row],[Coin Name]],1)="B",
LEFT(Table5[[#This Row],[Coin Name]],1)="C",
LEFT(Table5[[#This Row],[Coin Name]],1)="D"
), "Yes", "No")</f>
        <v>Yes</v>
      </c>
    </row>
    <row r="20" spans="1:3" x14ac:dyDescent="0.3">
      <c r="A20" s="18" t="s">
        <v>127</v>
      </c>
      <c r="B20" s="19">
        <v>19083906</v>
      </c>
      <c r="C20" t="str">
        <f>IF(OR(
LEFT(Table5[[#This Row],[Coin Name]],1)="A",
LEFT(Table5[[#This Row],[Coin Name]],1)="E",
LEFT(Table5[[#This Row],[Coin Name]],1)="I",
LEFT(Table5[[#This Row],[Coin Name]],1)="O",
LEFT(Table5[[#This Row],[Coin Name]],1)="U",
LEFT(Table5[[#This Row],[Coin Name]],1)="B",
LEFT(Table5[[#This Row],[Coin Name]],1)="C",
LEFT(Table5[[#This Row],[Coin Name]],1)="D"
), "Yes", "No")</f>
        <v>No</v>
      </c>
    </row>
    <row r="21" spans="1:3" x14ac:dyDescent="0.3">
      <c r="A21" s="20" t="s">
        <v>134</v>
      </c>
      <c r="B21" s="21">
        <v>27296450</v>
      </c>
      <c r="C21" t="str">
        <f>IF(OR(
LEFT(Table5[[#This Row],[Coin Name]],1)="A",
LEFT(Table5[[#This Row],[Coin Name]],1)="E",
LEFT(Table5[[#This Row],[Coin Name]],1)="I",
LEFT(Table5[[#This Row],[Coin Name]],1)="O",
LEFT(Table5[[#This Row],[Coin Name]],1)="U",
LEFT(Table5[[#This Row],[Coin Name]],1)="B",
LEFT(Table5[[#This Row],[Coin Name]],1)="C",
LEFT(Table5[[#This Row],[Coin Name]],1)="D"
), "Yes", "No")</f>
        <v>Yes</v>
      </c>
    </row>
    <row r="22" spans="1:3" x14ac:dyDescent="0.3">
      <c r="A22" s="18" t="s">
        <v>141</v>
      </c>
      <c r="B22" s="19">
        <v>64466358</v>
      </c>
      <c r="C22" t="str">
        <f>IF(OR(
LEFT(Table5[[#This Row],[Coin Name]],1)="A",
LEFT(Table5[[#This Row],[Coin Name]],1)="E",
LEFT(Table5[[#This Row],[Coin Name]],1)="I",
LEFT(Table5[[#This Row],[Coin Name]],1)="O",
LEFT(Table5[[#This Row],[Coin Name]],1)="U",
LEFT(Table5[[#This Row],[Coin Name]],1)="B",
LEFT(Table5[[#This Row],[Coin Name]],1)="C",
LEFT(Table5[[#This Row],[Coin Name]],1)="D"
), "Yes", "No")</f>
        <v>No</v>
      </c>
    </row>
    <row r="23" spans="1:3" x14ac:dyDescent="0.3">
      <c r="A23" s="20" t="s">
        <v>148</v>
      </c>
      <c r="B23" s="21">
        <v>26985300</v>
      </c>
      <c r="C23" t="str">
        <f>IF(OR(
LEFT(Table5[[#This Row],[Coin Name]],1)="A",
LEFT(Table5[[#This Row],[Coin Name]],1)="E",
LEFT(Table5[[#This Row],[Coin Name]],1)="I",
LEFT(Table5[[#This Row],[Coin Name]],1)="O",
LEFT(Table5[[#This Row],[Coin Name]],1)="U",
LEFT(Table5[[#This Row],[Coin Name]],1)="B",
LEFT(Table5[[#This Row],[Coin Name]],1)="C",
LEFT(Table5[[#This Row],[Coin Name]],1)="D"
), "Yes", "No")</f>
        <v>No</v>
      </c>
    </row>
    <row r="24" spans="1:3" x14ac:dyDescent="0.3">
      <c r="A24" s="18" t="s">
        <v>155</v>
      </c>
      <c r="B24" s="19">
        <v>30789467</v>
      </c>
      <c r="C24" t="str">
        <f>IF(OR(
LEFT(Table5[[#This Row],[Coin Name]],1)="A",
LEFT(Table5[[#This Row],[Coin Name]],1)="E",
LEFT(Table5[[#This Row],[Coin Name]],1)="I",
LEFT(Table5[[#This Row],[Coin Name]],1)="O",
LEFT(Table5[[#This Row],[Coin Name]],1)="U",
LEFT(Table5[[#This Row],[Coin Name]],1)="B",
LEFT(Table5[[#This Row],[Coin Name]],1)="C",
LEFT(Table5[[#This Row],[Coin Name]],1)="D"
), "Yes", "No")</f>
        <v>No</v>
      </c>
    </row>
    <row r="25" spans="1:3" x14ac:dyDescent="0.3">
      <c r="A25" s="20" t="s">
        <v>161</v>
      </c>
      <c r="B25" s="21">
        <v>8289454</v>
      </c>
      <c r="C25" t="str">
        <f>IF(OR(
LEFT(Table5[[#This Row],[Coin Name]],1)="A",
LEFT(Table5[[#This Row],[Coin Name]],1)="E",
LEFT(Table5[[#This Row],[Coin Name]],1)="I",
LEFT(Table5[[#This Row],[Coin Name]],1)="O",
LEFT(Table5[[#This Row],[Coin Name]],1)="U",
LEFT(Table5[[#This Row],[Coin Name]],1)="B",
LEFT(Table5[[#This Row],[Coin Name]],1)="C",
LEFT(Table5[[#This Row],[Coin Name]],1)="D"
), "Yes", "No")</f>
        <v>No</v>
      </c>
    </row>
    <row r="26" spans="1:3" x14ac:dyDescent="0.3">
      <c r="A26" s="18" t="s">
        <v>168</v>
      </c>
      <c r="B26" s="19">
        <v>1338625</v>
      </c>
      <c r="C26" t="str">
        <f>IF(OR(
LEFT(Table5[[#This Row],[Coin Name]],1)="A",
LEFT(Table5[[#This Row],[Coin Name]],1)="E",
LEFT(Table5[[#This Row],[Coin Name]],1)="I",
LEFT(Table5[[#This Row],[Coin Name]],1)="O",
LEFT(Table5[[#This Row],[Coin Name]],1)="U",
LEFT(Table5[[#This Row],[Coin Name]],1)="B",
LEFT(Table5[[#This Row],[Coin Name]],1)="C",
LEFT(Table5[[#This Row],[Coin Name]],1)="D"
), "Yes", "No")</f>
        <v>Yes</v>
      </c>
    </row>
    <row r="27" spans="1:3" x14ac:dyDescent="0.3">
      <c r="A27" s="20" t="s">
        <v>174</v>
      </c>
      <c r="B27" s="21">
        <v>4463129</v>
      </c>
      <c r="C27" t="str">
        <f>IF(OR(
LEFT(Table5[[#This Row],[Coin Name]],1)="A",
LEFT(Table5[[#This Row],[Coin Name]],1)="E",
LEFT(Table5[[#This Row],[Coin Name]],1)="I",
LEFT(Table5[[#This Row],[Coin Name]],1)="O",
LEFT(Table5[[#This Row],[Coin Name]],1)="U",
LEFT(Table5[[#This Row],[Coin Name]],1)="B",
LEFT(Table5[[#This Row],[Coin Name]],1)="C",
LEFT(Table5[[#This Row],[Coin Name]],1)="D"
), "Yes", "No")</f>
        <v>Yes</v>
      </c>
    </row>
    <row r="28" spans="1:3" x14ac:dyDescent="0.3">
      <c r="A28" s="18" t="s">
        <v>181</v>
      </c>
      <c r="B28" s="19">
        <v>1377265</v>
      </c>
      <c r="C28" t="str">
        <f>IF(OR(
LEFT(Table5[[#This Row],[Coin Name]],1)="A",
LEFT(Table5[[#This Row],[Coin Name]],1)="E",
LEFT(Table5[[#This Row],[Coin Name]],1)="I",
LEFT(Table5[[#This Row],[Coin Name]],1)="O",
LEFT(Table5[[#This Row],[Coin Name]],1)="U",
LEFT(Table5[[#This Row],[Coin Name]],1)="B",
LEFT(Table5[[#This Row],[Coin Name]],1)="C",
LEFT(Table5[[#This Row],[Coin Name]],1)="D"
), "Yes", "No")</f>
        <v>No</v>
      </c>
    </row>
    <row r="29" spans="1:3" x14ac:dyDescent="0.3">
      <c r="A29" s="20" t="s">
        <v>188</v>
      </c>
      <c r="B29" s="21">
        <v>4396792</v>
      </c>
      <c r="C29" t="str">
        <f>IF(OR(
LEFT(Table5[[#This Row],[Coin Name]],1)="A",
LEFT(Table5[[#This Row],[Coin Name]],1)="E",
LEFT(Table5[[#This Row],[Coin Name]],1)="I",
LEFT(Table5[[#This Row],[Coin Name]],1)="O",
LEFT(Table5[[#This Row],[Coin Name]],1)="U",
LEFT(Table5[[#This Row],[Coin Name]],1)="B",
LEFT(Table5[[#This Row],[Coin Name]],1)="C",
LEFT(Table5[[#This Row],[Coin Name]],1)="D"
), "Yes", "No")</f>
        <v>Yes</v>
      </c>
    </row>
    <row r="30" spans="1:3" x14ac:dyDescent="0.3">
      <c r="A30" s="18" t="s">
        <v>195</v>
      </c>
      <c r="B30" s="19">
        <v>5715956</v>
      </c>
      <c r="C30" t="str">
        <f>IF(OR(
LEFT(Table5[[#This Row],[Coin Name]],1)="A",
LEFT(Table5[[#This Row],[Coin Name]],1)="E",
LEFT(Table5[[#This Row],[Coin Name]],1)="I",
LEFT(Table5[[#This Row],[Coin Name]],1)="O",
LEFT(Table5[[#This Row],[Coin Name]],1)="U",
LEFT(Table5[[#This Row],[Coin Name]],1)="B",
LEFT(Table5[[#This Row],[Coin Name]],1)="C",
LEFT(Table5[[#This Row],[Coin Name]],1)="D"
), "Yes", "No")</f>
        <v>No</v>
      </c>
    </row>
    <row r="31" spans="1:3" x14ac:dyDescent="0.3">
      <c r="A31" s="20" t="s">
        <v>202</v>
      </c>
      <c r="B31" s="21">
        <v>325843</v>
      </c>
      <c r="C31" t="str">
        <f>IF(OR(
LEFT(Table5[[#This Row],[Coin Name]],1)="A",
LEFT(Table5[[#This Row],[Coin Name]],1)="E",
LEFT(Table5[[#This Row],[Coin Name]],1)="I",
LEFT(Table5[[#This Row],[Coin Name]],1)="O",
LEFT(Table5[[#This Row],[Coin Name]],1)="U",
LEFT(Table5[[#This Row],[Coin Name]],1)="B",
LEFT(Table5[[#This Row],[Coin Name]],1)="C",
LEFT(Table5[[#This Row],[Coin Name]],1)="D"
), "Yes", "No")</f>
        <v>No</v>
      </c>
    </row>
    <row r="32" spans="1:3" x14ac:dyDescent="0.3">
      <c r="A32" s="18" t="s">
        <v>209</v>
      </c>
      <c r="B32" s="19">
        <v>6721454</v>
      </c>
      <c r="C32" t="str">
        <f>IF(OR(
LEFT(Table5[[#This Row],[Coin Name]],1)="A",
LEFT(Table5[[#This Row],[Coin Name]],1)="E",
LEFT(Table5[[#This Row],[Coin Name]],1)="I",
LEFT(Table5[[#This Row],[Coin Name]],1)="O",
LEFT(Table5[[#This Row],[Coin Name]],1)="U",
LEFT(Table5[[#This Row],[Coin Name]],1)="B",
LEFT(Table5[[#This Row],[Coin Name]],1)="C",
LEFT(Table5[[#This Row],[Coin Name]],1)="D"
), "Yes", "No")</f>
        <v>No</v>
      </c>
    </row>
    <row r="33" spans="1:3" x14ac:dyDescent="0.3">
      <c r="A33" s="20" t="s">
        <v>214</v>
      </c>
      <c r="B33" s="21">
        <v>343471</v>
      </c>
      <c r="C33" t="str">
        <f>IF(OR(
LEFT(Table5[[#This Row],[Coin Name]],1)="A",
LEFT(Table5[[#This Row],[Coin Name]],1)="E",
LEFT(Table5[[#This Row],[Coin Name]],1)="I",
LEFT(Table5[[#This Row],[Coin Name]],1)="O",
LEFT(Table5[[#This Row],[Coin Name]],1)="U",
LEFT(Table5[[#This Row],[Coin Name]],1)="B",
LEFT(Table5[[#This Row],[Coin Name]],1)="C",
LEFT(Table5[[#This Row],[Coin Name]],1)="D"
), "Yes", "No")</f>
        <v>Yes</v>
      </c>
    </row>
    <row r="34" spans="1:3" x14ac:dyDescent="0.3">
      <c r="A34" s="18" t="s">
        <v>219</v>
      </c>
      <c r="B34" s="19">
        <v>1092882</v>
      </c>
      <c r="C34" t="str">
        <f>IF(OR(
LEFT(Table5[[#This Row],[Coin Name]],1)="A",
LEFT(Table5[[#This Row],[Coin Name]],1)="E",
LEFT(Table5[[#This Row],[Coin Name]],1)="I",
LEFT(Table5[[#This Row],[Coin Name]],1)="O",
LEFT(Table5[[#This Row],[Coin Name]],1)="U",
LEFT(Table5[[#This Row],[Coin Name]],1)="B",
LEFT(Table5[[#This Row],[Coin Name]],1)="C",
LEFT(Table5[[#This Row],[Coin Name]],1)="D"
), "Yes", "No")</f>
        <v>No</v>
      </c>
    </row>
    <row r="35" spans="1:3" x14ac:dyDescent="0.3">
      <c r="A35" s="20" t="s">
        <v>225</v>
      </c>
      <c r="B35" s="21">
        <v>2531201</v>
      </c>
      <c r="C35" t="str">
        <f>IF(OR(
LEFT(Table5[[#This Row],[Coin Name]],1)="A",
LEFT(Table5[[#This Row],[Coin Name]],1)="E",
LEFT(Table5[[#This Row],[Coin Name]],1)="I",
LEFT(Table5[[#This Row],[Coin Name]],1)="O",
LEFT(Table5[[#This Row],[Coin Name]],1)="U",
LEFT(Table5[[#This Row],[Coin Name]],1)="B",
LEFT(Table5[[#This Row],[Coin Name]],1)="C",
LEFT(Table5[[#This Row],[Coin Name]],1)="D"
), "Yes", "No")</f>
        <v>No</v>
      </c>
    </row>
    <row r="36" spans="1:3" x14ac:dyDescent="0.3">
      <c r="A36" s="18" t="s">
        <v>231</v>
      </c>
      <c r="B36" s="19">
        <v>7930906</v>
      </c>
      <c r="C36" t="str">
        <f>IF(OR(
LEFT(Table5[[#This Row],[Coin Name]],1)="A",
LEFT(Table5[[#This Row],[Coin Name]],1)="E",
LEFT(Table5[[#This Row],[Coin Name]],1)="I",
LEFT(Table5[[#This Row],[Coin Name]],1)="O",
LEFT(Table5[[#This Row],[Coin Name]],1)="U",
LEFT(Table5[[#This Row],[Coin Name]],1)="B",
LEFT(Table5[[#This Row],[Coin Name]],1)="C",
LEFT(Table5[[#This Row],[Coin Name]],1)="D"
), "Yes", "No")</f>
        <v>Yes</v>
      </c>
    </row>
    <row r="37" spans="1:3" x14ac:dyDescent="0.3">
      <c r="A37" s="20" t="s">
        <v>238</v>
      </c>
      <c r="B37" s="21">
        <v>8432086</v>
      </c>
      <c r="C37" t="str">
        <f>IF(OR(
LEFT(Table5[[#This Row],[Coin Name]],1)="A",
LEFT(Table5[[#This Row],[Coin Name]],1)="E",
LEFT(Table5[[#This Row],[Coin Name]],1)="I",
LEFT(Table5[[#This Row],[Coin Name]],1)="O",
LEFT(Table5[[#This Row],[Coin Name]],1)="U",
LEFT(Table5[[#This Row],[Coin Name]],1)="B",
LEFT(Table5[[#This Row],[Coin Name]],1)="C",
LEFT(Table5[[#This Row],[Coin Name]],1)="D"
), "Yes", "No")</f>
        <v>Yes</v>
      </c>
    </row>
    <row r="38" spans="1:3" x14ac:dyDescent="0.3">
      <c r="A38" s="18" t="s">
        <v>242</v>
      </c>
      <c r="B38" s="19">
        <v>10778520</v>
      </c>
      <c r="C38" t="str">
        <f>IF(OR(
LEFT(Table5[[#This Row],[Coin Name]],1)="A",
LEFT(Table5[[#This Row],[Coin Name]],1)="E",
LEFT(Table5[[#This Row],[Coin Name]],1)="I",
LEFT(Table5[[#This Row],[Coin Name]],1)="O",
LEFT(Table5[[#This Row],[Coin Name]],1)="U",
LEFT(Table5[[#This Row],[Coin Name]],1)="B",
LEFT(Table5[[#This Row],[Coin Name]],1)="C",
LEFT(Table5[[#This Row],[Coin Name]],1)="D"
), "Yes", "No")</f>
        <v>Yes</v>
      </c>
    </row>
    <row r="39" spans="1:3" x14ac:dyDescent="0.3">
      <c r="A39" s="20" t="s">
        <v>249</v>
      </c>
      <c r="B39" s="21">
        <v>10487502</v>
      </c>
      <c r="C39" t="str">
        <f>IF(OR(
LEFT(Table5[[#This Row],[Coin Name]],1)="A",
LEFT(Table5[[#This Row],[Coin Name]],1)="E",
LEFT(Table5[[#This Row],[Coin Name]],1)="I",
LEFT(Table5[[#This Row],[Coin Name]],1)="O",
LEFT(Table5[[#This Row],[Coin Name]],1)="U",
LEFT(Table5[[#This Row],[Coin Name]],1)="B",
LEFT(Table5[[#This Row],[Coin Name]],1)="C",
LEFT(Table5[[#This Row],[Coin Name]],1)="D"
), "Yes", "No")</f>
        <v>No</v>
      </c>
    </row>
    <row r="40" spans="1:3" x14ac:dyDescent="0.3">
      <c r="A40" s="18" t="s">
        <v>256</v>
      </c>
      <c r="B40" s="19">
        <v>11344790</v>
      </c>
      <c r="C40" t="str">
        <f>IF(OR(
LEFT(Table5[[#This Row],[Coin Name]],1)="A",
LEFT(Table5[[#This Row],[Coin Name]],1)="E",
LEFT(Table5[[#This Row],[Coin Name]],1)="I",
LEFT(Table5[[#This Row],[Coin Name]],1)="O",
LEFT(Table5[[#This Row],[Coin Name]],1)="U",
LEFT(Table5[[#This Row],[Coin Name]],1)="B",
LEFT(Table5[[#This Row],[Coin Name]],1)="C",
LEFT(Table5[[#This Row],[Coin Name]],1)="D"
), "Yes", "No")</f>
        <v>Yes</v>
      </c>
    </row>
    <row r="41" spans="1:3" x14ac:dyDescent="0.3">
      <c r="A41" s="20" t="s">
        <v>262</v>
      </c>
      <c r="B41" s="21">
        <v>9341488</v>
      </c>
      <c r="C41" t="str">
        <f>IF(OR(
LEFT(Table5[[#This Row],[Coin Name]],1)="A",
LEFT(Table5[[#This Row],[Coin Name]],1)="E",
LEFT(Table5[[#This Row],[Coin Name]],1)="I",
LEFT(Table5[[#This Row],[Coin Name]],1)="O",
LEFT(Table5[[#This Row],[Coin Name]],1)="U",
LEFT(Table5[[#This Row],[Coin Name]],1)="B",
LEFT(Table5[[#This Row],[Coin Name]],1)="C",
LEFT(Table5[[#This Row],[Coin Name]],1)="D"
), "Yes", "No")</f>
        <v>No</v>
      </c>
    </row>
    <row r="42" spans="1:3" x14ac:dyDescent="0.3">
      <c r="A42" s="18" t="s">
        <v>269</v>
      </c>
      <c r="B42" s="19">
        <v>9141404</v>
      </c>
      <c r="C42" t="str">
        <f>IF(OR(
LEFT(Table5[[#This Row],[Coin Name]],1)="A",
LEFT(Table5[[#This Row],[Coin Name]],1)="E",
LEFT(Table5[[#This Row],[Coin Name]],1)="I",
LEFT(Table5[[#This Row],[Coin Name]],1)="O",
LEFT(Table5[[#This Row],[Coin Name]],1)="U",
LEFT(Table5[[#This Row],[Coin Name]],1)="B",
LEFT(Table5[[#This Row],[Coin Name]],1)="C",
LEFT(Table5[[#This Row],[Coin Name]],1)="D"
), "Yes", "No")</f>
        <v>Yes</v>
      </c>
    </row>
    <row r="43" spans="1:3" x14ac:dyDescent="0.3">
      <c r="A43" s="20" t="s">
        <v>276</v>
      </c>
      <c r="B43" s="21">
        <v>9108166</v>
      </c>
      <c r="C43" t="str">
        <f>IF(OR(
LEFT(Table5[[#This Row],[Coin Name]],1)="A",
LEFT(Table5[[#This Row],[Coin Name]],1)="E",
LEFT(Table5[[#This Row],[Coin Name]],1)="I",
LEFT(Table5[[#This Row],[Coin Name]],1)="O",
LEFT(Table5[[#This Row],[Coin Name]],1)="U",
LEFT(Table5[[#This Row],[Coin Name]],1)="B",
LEFT(Table5[[#This Row],[Coin Name]],1)="C",
LEFT(Table5[[#This Row],[Coin Name]],1)="D"
), "Yes", "No")</f>
        <v>Yes</v>
      </c>
    </row>
    <row r="44" spans="1:3" x14ac:dyDescent="0.3">
      <c r="A44" s="18" t="s">
        <v>282</v>
      </c>
      <c r="B44" s="19">
        <v>24699</v>
      </c>
      <c r="C44" t="str">
        <f>IF(OR(
LEFT(Table5[[#This Row],[Coin Name]],1)="A",
LEFT(Table5[[#This Row],[Coin Name]],1)="E",
LEFT(Table5[[#This Row],[Coin Name]],1)="I",
LEFT(Table5[[#This Row],[Coin Name]],1)="O",
LEFT(Table5[[#This Row],[Coin Name]],1)="U",
LEFT(Table5[[#This Row],[Coin Name]],1)="B",
LEFT(Table5[[#This Row],[Coin Name]],1)="C",
LEFT(Table5[[#This Row],[Coin Name]],1)="D"
), "Yes", "No")</f>
        <v>No</v>
      </c>
    </row>
    <row r="45" spans="1:3" x14ac:dyDescent="0.3">
      <c r="A45" s="20" t="s">
        <v>288</v>
      </c>
      <c r="B45" s="21">
        <v>295825</v>
      </c>
      <c r="C45" t="str">
        <f>IF(OR(
LEFT(Table5[[#This Row],[Coin Name]],1)="A",
LEFT(Table5[[#This Row],[Coin Name]],1)="E",
LEFT(Table5[[#This Row],[Coin Name]],1)="I",
LEFT(Table5[[#This Row],[Coin Name]],1)="O",
LEFT(Table5[[#This Row],[Coin Name]],1)="U",
LEFT(Table5[[#This Row],[Coin Name]],1)="B",
LEFT(Table5[[#This Row],[Coin Name]],1)="C",
LEFT(Table5[[#This Row],[Coin Name]],1)="D"
), "Yes", "No")</f>
        <v>Yes</v>
      </c>
    </row>
    <row r="46" spans="1:3" x14ac:dyDescent="0.3">
      <c r="A46" s="18" t="s">
        <v>294</v>
      </c>
      <c r="B46" s="19">
        <v>4522686</v>
      </c>
      <c r="C46" t="str">
        <f>IF(OR(
LEFT(Table5[[#This Row],[Coin Name]],1)="A",
LEFT(Table5[[#This Row],[Coin Name]],1)="E",
LEFT(Table5[[#This Row],[Coin Name]],1)="I",
LEFT(Table5[[#This Row],[Coin Name]],1)="O",
LEFT(Table5[[#This Row],[Coin Name]],1)="U",
LEFT(Table5[[#This Row],[Coin Name]],1)="B",
LEFT(Table5[[#This Row],[Coin Name]],1)="C",
LEFT(Table5[[#This Row],[Coin Name]],1)="D"
), "Yes", "No")</f>
        <v>Yes</v>
      </c>
    </row>
    <row r="47" spans="1:3" x14ac:dyDescent="0.3">
      <c r="A47" s="20" t="s">
        <v>300</v>
      </c>
      <c r="B47" s="21">
        <v>6787116</v>
      </c>
      <c r="C47" t="str">
        <f>IF(OR(
LEFT(Table5[[#This Row],[Coin Name]],1)="A",
LEFT(Table5[[#This Row],[Coin Name]],1)="E",
LEFT(Table5[[#This Row],[Coin Name]],1)="I",
LEFT(Table5[[#This Row],[Coin Name]],1)="O",
LEFT(Table5[[#This Row],[Coin Name]],1)="U",
LEFT(Table5[[#This Row],[Coin Name]],1)="B",
LEFT(Table5[[#This Row],[Coin Name]],1)="C",
LEFT(Table5[[#This Row],[Coin Name]],1)="D"
), "Yes", "No")</f>
        <v>Yes</v>
      </c>
    </row>
    <row r="48" spans="1:3" x14ac:dyDescent="0.3">
      <c r="A48" s="18" t="s">
        <v>306</v>
      </c>
      <c r="B48" s="19">
        <v>4342188</v>
      </c>
      <c r="C48" t="str">
        <f>IF(OR(
LEFT(Table5[[#This Row],[Coin Name]],1)="A",
LEFT(Table5[[#This Row],[Coin Name]],1)="E",
LEFT(Table5[[#This Row],[Coin Name]],1)="I",
LEFT(Table5[[#This Row],[Coin Name]],1)="O",
LEFT(Table5[[#This Row],[Coin Name]],1)="U",
LEFT(Table5[[#This Row],[Coin Name]],1)="B",
LEFT(Table5[[#This Row],[Coin Name]],1)="C",
LEFT(Table5[[#This Row],[Coin Name]],1)="D"
), "Yes", "No")</f>
        <v>Yes</v>
      </c>
    </row>
    <row r="49" spans="1:3" x14ac:dyDescent="0.3">
      <c r="A49" s="20" t="s">
        <v>312</v>
      </c>
      <c r="B49" s="21">
        <v>14947172</v>
      </c>
      <c r="C49" t="str">
        <f>IF(OR(
LEFT(Table5[[#This Row],[Coin Name]],1)="A",
LEFT(Table5[[#This Row],[Coin Name]],1)="E",
LEFT(Table5[[#This Row],[Coin Name]],1)="I",
LEFT(Table5[[#This Row],[Coin Name]],1)="O",
LEFT(Table5[[#This Row],[Coin Name]],1)="U",
LEFT(Table5[[#This Row],[Coin Name]],1)="B",
LEFT(Table5[[#This Row],[Coin Name]],1)="C",
LEFT(Table5[[#This Row],[Coin Name]],1)="D"
), "Yes", "No")</f>
        <v>No</v>
      </c>
    </row>
    <row r="50" spans="1:3" x14ac:dyDescent="0.3">
      <c r="A50" s="18" t="s">
        <v>319</v>
      </c>
      <c r="B50" s="19">
        <v>10238715</v>
      </c>
      <c r="C50" t="str">
        <f>IF(OR(
LEFT(Table5[[#This Row],[Coin Name]],1)="A",
LEFT(Table5[[#This Row],[Coin Name]],1)="E",
LEFT(Table5[[#This Row],[Coin Name]],1)="I",
LEFT(Table5[[#This Row],[Coin Name]],1)="O",
LEFT(Table5[[#This Row],[Coin Name]],1)="U",
LEFT(Table5[[#This Row],[Coin Name]],1)="B",
LEFT(Table5[[#This Row],[Coin Name]],1)="C",
LEFT(Table5[[#This Row],[Coin Name]],1)="D"
), "Yes", "No")</f>
        <v>Yes</v>
      </c>
    </row>
    <row r="51" spans="1:3" x14ac:dyDescent="0.3">
      <c r="A51" s="20" t="s">
        <v>332</v>
      </c>
      <c r="B51" s="21">
        <v>13787251</v>
      </c>
      <c r="C51" t="str">
        <f>IF(OR(
LEFT(Table5[[#This Row],[Coin Name]],1)="A",
LEFT(Table5[[#This Row],[Coin Name]],1)="E",
LEFT(Table5[[#This Row],[Coin Name]],1)="I",
LEFT(Table5[[#This Row],[Coin Name]],1)="O",
LEFT(Table5[[#This Row],[Coin Name]],1)="U",
LEFT(Table5[[#This Row],[Coin Name]],1)="B",
LEFT(Table5[[#This Row],[Coin Name]],1)="C",
LEFT(Table5[[#This Row],[Coin Name]],1)="D"
), "Yes", "No")</f>
        <v>No</v>
      </c>
    </row>
    <row r="52" spans="1:3" x14ac:dyDescent="0.3">
      <c r="A52" s="18" t="s">
        <v>339</v>
      </c>
      <c r="B52" s="19">
        <v>1249114</v>
      </c>
      <c r="C52" t="str">
        <f>IF(OR(
LEFT(Table5[[#This Row],[Coin Name]],1)="A",
LEFT(Table5[[#This Row],[Coin Name]],1)="E",
LEFT(Table5[[#This Row],[Coin Name]],1)="I",
LEFT(Table5[[#This Row],[Coin Name]],1)="O",
LEFT(Table5[[#This Row],[Coin Name]],1)="U",
LEFT(Table5[[#This Row],[Coin Name]],1)="B",
LEFT(Table5[[#This Row],[Coin Name]],1)="C",
LEFT(Table5[[#This Row],[Coin Name]],1)="D"
), "Yes", "No")</f>
        <v>No</v>
      </c>
    </row>
    <row r="53" spans="1:3" x14ac:dyDescent="0.3">
      <c r="A53" s="20" t="s">
        <v>346</v>
      </c>
      <c r="B53" s="21">
        <v>5327551</v>
      </c>
      <c r="C53" t="str">
        <f>IF(OR(
LEFT(Table5[[#This Row],[Coin Name]],1)="A",
LEFT(Table5[[#This Row],[Coin Name]],1)="E",
LEFT(Table5[[#This Row],[Coin Name]],1)="I",
LEFT(Table5[[#This Row],[Coin Name]],1)="O",
LEFT(Table5[[#This Row],[Coin Name]],1)="U",
LEFT(Table5[[#This Row],[Coin Name]],1)="B",
LEFT(Table5[[#This Row],[Coin Name]],1)="C",
LEFT(Table5[[#This Row],[Coin Name]],1)="D"
), "Yes", "No")</f>
        <v>Yes</v>
      </c>
    </row>
    <row r="54" spans="1:3" x14ac:dyDescent="0.3">
      <c r="A54" s="18" t="s">
        <v>352</v>
      </c>
      <c r="B54" s="19">
        <v>9047350</v>
      </c>
      <c r="C54" t="str">
        <f>IF(OR(
LEFT(Table5[[#This Row],[Coin Name]],1)="A",
LEFT(Table5[[#This Row],[Coin Name]],1)="E",
LEFT(Table5[[#This Row],[Coin Name]],1)="I",
LEFT(Table5[[#This Row],[Coin Name]],1)="O",
LEFT(Table5[[#This Row],[Coin Name]],1)="U",
LEFT(Table5[[#This Row],[Coin Name]],1)="B",
LEFT(Table5[[#This Row],[Coin Name]],1)="C",
LEFT(Table5[[#This Row],[Coin Name]],1)="D"
), "Yes", "No")</f>
        <v>Yes</v>
      </c>
    </row>
    <row r="55" spans="1:3" x14ac:dyDescent="0.3">
      <c r="A55" s="20" t="s">
        <v>358</v>
      </c>
      <c r="B55" s="21">
        <v>2058149</v>
      </c>
      <c r="C55" t="str">
        <f>IF(OR(
LEFT(Table5[[#This Row],[Coin Name]],1)="A",
LEFT(Table5[[#This Row],[Coin Name]],1)="E",
LEFT(Table5[[#This Row],[Coin Name]],1)="I",
LEFT(Table5[[#This Row],[Coin Name]],1)="O",
LEFT(Table5[[#This Row],[Coin Name]],1)="U",
LEFT(Table5[[#This Row],[Coin Name]],1)="B",
LEFT(Table5[[#This Row],[Coin Name]],1)="C",
LEFT(Table5[[#This Row],[Coin Name]],1)="D"
), "Yes", "No")</f>
        <v>Yes</v>
      </c>
    </row>
    <row r="56" spans="1:3" x14ac:dyDescent="0.3">
      <c r="A56" s="18" t="s">
        <v>365</v>
      </c>
      <c r="B56" s="19">
        <v>76515</v>
      </c>
      <c r="C56" t="str">
        <f>IF(OR(
LEFT(Table5[[#This Row],[Coin Name]],1)="A",
LEFT(Table5[[#This Row],[Coin Name]],1)="E",
LEFT(Table5[[#This Row],[Coin Name]],1)="I",
LEFT(Table5[[#This Row],[Coin Name]],1)="O",
LEFT(Table5[[#This Row],[Coin Name]],1)="U",
LEFT(Table5[[#This Row],[Coin Name]],1)="B",
LEFT(Table5[[#This Row],[Coin Name]],1)="C",
LEFT(Table5[[#This Row],[Coin Name]],1)="D"
), "Yes", "No")</f>
        <v>No</v>
      </c>
    </row>
    <row r="57" spans="1:3" x14ac:dyDescent="0.3">
      <c r="A57" s="20" t="s">
        <v>371</v>
      </c>
      <c r="B57" s="21">
        <v>8267657</v>
      </c>
      <c r="C57" t="str">
        <f>IF(OR(
LEFT(Table5[[#This Row],[Coin Name]],1)="A",
LEFT(Table5[[#This Row],[Coin Name]],1)="E",
LEFT(Table5[[#This Row],[Coin Name]],1)="I",
LEFT(Table5[[#This Row],[Coin Name]],1)="O",
LEFT(Table5[[#This Row],[Coin Name]],1)="U",
LEFT(Table5[[#This Row],[Coin Name]],1)="B",
LEFT(Table5[[#This Row],[Coin Name]],1)="C",
LEFT(Table5[[#This Row],[Coin Name]],1)="D"
), "Yes", "No")</f>
        <v>No</v>
      </c>
    </row>
    <row r="58" spans="1:3" x14ac:dyDescent="0.3">
      <c r="A58" s="18" t="s">
        <v>378</v>
      </c>
      <c r="B58" s="19">
        <v>27805860</v>
      </c>
      <c r="C58" t="str">
        <f>IF(OR(
LEFT(Table5[[#This Row],[Coin Name]],1)="A",
LEFT(Table5[[#This Row],[Coin Name]],1)="E",
LEFT(Table5[[#This Row],[Coin Name]],1)="I",
LEFT(Table5[[#This Row],[Coin Name]],1)="O",
LEFT(Table5[[#This Row],[Coin Name]],1)="U",
LEFT(Table5[[#This Row],[Coin Name]],1)="B",
LEFT(Table5[[#This Row],[Coin Name]],1)="C",
LEFT(Table5[[#This Row],[Coin Name]],1)="D"
), "Yes", "No")</f>
        <v>Yes</v>
      </c>
    </row>
    <row r="59" spans="1:3" x14ac:dyDescent="0.3">
      <c r="A59" s="20" t="s">
        <v>384</v>
      </c>
      <c r="B59" s="21">
        <v>213098</v>
      </c>
      <c r="C59" t="str">
        <f>IF(OR(
LEFT(Table5[[#This Row],[Coin Name]],1)="A",
LEFT(Table5[[#This Row],[Coin Name]],1)="E",
LEFT(Table5[[#This Row],[Coin Name]],1)="I",
LEFT(Table5[[#This Row],[Coin Name]],1)="O",
LEFT(Table5[[#This Row],[Coin Name]],1)="U",
LEFT(Table5[[#This Row],[Coin Name]],1)="B",
LEFT(Table5[[#This Row],[Coin Name]],1)="C",
LEFT(Table5[[#This Row],[Coin Name]],1)="D"
), "Yes", "No")</f>
        <v>No</v>
      </c>
    </row>
    <row r="60" spans="1:3" x14ac:dyDescent="0.3">
      <c r="A60" s="18" t="s">
        <v>391</v>
      </c>
      <c r="B60" s="19">
        <v>2564140</v>
      </c>
      <c r="C60" t="str">
        <f>IF(OR(
LEFT(Table5[[#This Row],[Coin Name]],1)="A",
LEFT(Table5[[#This Row],[Coin Name]],1)="E",
LEFT(Table5[[#This Row],[Coin Name]],1)="I",
LEFT(Table5[[#This Row],[Coin Name]],1)="O",
LEFT(Table5[[#This Row],[Coin Name]],1)="U",
LEFT(Table5[[#This Row],[Coin Name]],1)="B",
LEFT(Table5[[#This Row],[Coin Name]],1)="C",
LEFT(Table5[[#This Row],[Coin Name]],1)="D"
), "Yes", "No")</f>
        <v>No</v>
      </c>
    </row>
    <row r="61" spans="1:3" x14ac:dyDescent="0.3">
      <c r="A61" s="20" t="s">
        <v>398</v>
      </c>
      <c r="B61" s="21">
        <v>35491</v>
      </c>
      <c r="C61" t="str">
        <f>IF(OR(
LEFT(Table5[[#This Row],[Coin Name]],1)="A",
LEFT(Table5[[#This Row],[Coin Name]],1)="E",
LEFT(Table5[[#This Row],[Coin Name]],1)="I",
LEFT(Table5[[#This Row],[Coin Name]],1)="O",
LEFT(Table5[[#This Row],[Coin Name]],1)="U",
LEFT(Table5[[#This Row],[Coin Name]],1)="B",
LEFT(Table5[[#This Row],[Coin Name]],1)="C",
LEFT(Table5[[#This Row],[Coin Name]],1)="D"
), "Yes", "No")</f>
        <v>No</v>
      </c>
    </row>
    <row r="62" spans="1:3" x14ac:dyDescent="0.3">
      <c r="A62" s="18" t="s">
        <v>1</v>
      </c>
      <c r="B62" s="19">
        <v>758766</v>
      </c>
      <c r="C62" t="str">
        <f>IF(OR(
LEFT(Table5[[#This Row],[Coin Name]],1)="A",
LEFT(Table5[[#This Row],[Coin Name]],1)="E",
LEFT(Table5[[#This Row],[Coin Name]],1)="I",
LEFT(Table5[[#This Row],[Coin Name]],1)="O",
LEFT(Table5[[#This Row],[Coin Name]],1)="U",
LEFT(Table5[[#This Row],[Coin Name]],1)="B",
LEFT(Table5[[#This Row],[Coin Name]],1)="C",
LEFT(Table5[[#This Row],[Coin Name]],1)="D"
), "Yes", "No")</f>
        <v>No</v>
      </c>
    </row>
    <row r="63" spans="1:3" x14ac:dyDescent="0.3">
      <c r="A63" s="20" t="s">
        <v>410</v>
      </c>
      <c r="B63" s="21">
        <v>10853972</v>
      </c>
      <c r="C63" t="str">
        <f>IF(OR(
LEFT(Table5[[#This Row],[Coin Name]],1)="A",
LEFT(Table5[[#This Row],[Coin Name]],1)="E",
LEFT(Table5[[#This Row],[Coin Name]],1)="I",
LEFT(Table5[[#This Row],[Coin Name]],1)="O",
LEFT(Table5[[#This Row],[Coin Name]],1)="U",
LEFT(Table5[[#This Row],[Coin Name]],1)="B",
LEFT(Table5[[#This Row],[Coin Name]],1)="C",
LEFT(Table5[[#This Row],[Coin Name]],1)="D"
), "Yes", "No")</f>
        <v>Yes</v>
      </c>
    </row>
    <row r="64" spans="1:3" x14ac:dyDescent="0.3">
      <c r="A64" s="18" t="s">
        <v>416</v>
      </c>
      <c r="B64" s="19">
        <v>19016000</v>
      </c>
      <c r="C64" t="str">
        <f>IF(OR(
LEFT(Table5[[#This Row],[Coin Name]],1)="A",
LEFT(Table5[[#This Row],[Coin Name]],1)="E",
LEFT(Table5[[#This Row],[Coin Name]],1)="I",
LEFT(Table5[[#This Row],[Coin Name]],1)="O",
LEFT(Table5[[#This Row],[Coin Name]],1)="U",
LEFT(Table5[[#This Row],[Coin Name]],1)="B",
LEFT(Table5[[#This Row],[Coin Name]],1)="C",
LEFT(Table5[[#This Row],[Coin Name]],1)="D"
), "Yes", "No")</f>
        <v>Yes</v>
      </c>
    </row>
    <row r="65" spans="1:3" x14ac:dyDescent="0.3">
      <c r="A65" s="20" t="s">
        <v>423</v>
      </c>
      <c r="B65" s="21">
        <v>339268</v>
      </c>
      <c r="C65" t="str">
        <f>IF(OR(
LEFT(Table5[[#This Row],[Coin Name]],1)="A",
LEFT(Table5[[#This Row],[Coin Name]],1)="E",
LEFT(Table5[[#This Row],[Coin Name]],1)="I",
LEFT(Table5[[#This Row],[Coin Name]],1)="O",
LEFT(Table5[[#This Row],[Coin Name]],1)="U",
LEFT(Table5[[#This Row],[Coin Name]],1)="B",
LEFT(Table5[[#This Row],[Coin Name]],1)="C",
LEFT(Table5[[#This Row],[Coin Name]],1)="D"
), "Yes", "No")</f>
        <v>Yes</v>
      </c>
    </row>
    <row r="66" spans="1:3" x14ac:dyDescent="0.3">
      <c r="A66" s="18" t="s">
        <v>429</v>
      </c>
      <c r="B66" s="19">
        <v>10189722</v>
      </c>
      <c r="C66" t="str">
        <f>IF(OR(
LEFT(Table5[[#This Row],[Coin Name]],1)="A",
LEFT(Table5[[#This Row],[Coin Name]],1)="E",
LEFT(Table5[[#This Row],[Coin Name]],1)="I",
LEFT(Table5[[#This Row],[Coin Name]],1)="O",
LEFT(Table5[[#This Row],[Coin Name]],1)="U",
LEFT(Table5[[#This Row],[Coin Name]],1)="B",
LEFT(Table5[[#This Row],[Coin Name]],1)="C",
LEFT(Table5[[#This Row],[Coin Name]],1)="D"
), "Yes", "No")</f>
        <v>No</v>
      </c>
    </row>
    <row r="67" spans="1:3" x14ac:dyDescent="0.3">
      <c r="A67" s="20" t="s">
        <v>435</v>
      </c>
      <c r="B67" s="21">
        <v>401821</v>
      </c>
      <c r="C67" t="str">
        <f>IF(OR(
LEFT(Table5[[#This Row],[Coin Name]],1)="A",
LEFT(Table5[[#This Row],[Coin Name]],1)="E",
LEFT(Table5[[#This Row],[Coin Name]],1)="I",
LEFT(Table5[[#This Row],[Coin Name]],1)="O",
LEFT(Table5[[#This Row],[Coin Name]],1)="U",
LEFT(Table5[[#This Row],[Coin Name]],1)="B",
LEFT(Table5[[#This Row],[Coin Name]],1)="C",
LEFT(Table5[[#This Row],[Coin Name]],1)="D"
), "Yes", "No")</f>
        <v>No</v>
      </c>
    </row>
    <row r="68" spans="1:3" x14ac:dyDescent="0.3">
      <c r="A68" s="18" t="s">
        <v>446</v>
      </c>
      <c r="B68" s="19">
        <v>10068683</v>
      </c>
      <c r="C68" t="str">
        <f>IF(OR(
LEFT(Table5[[#This Row],[Coin Name]],1)="A",
LEFT(Table5[[#This Row],[Coin Name]],1)="E",
LEFT(Table5[[#This Row],[Coin Name]],1)="I",
LEFT(Table5[[#This Row],[Coin Name]],1)="O",
LEFT(Table5[[#This Row],[Coin Name]],1)="U",
LEFT(Table5[[#This Row],[Coin Name]],1)="B",
LEFT(Table5[[#This Row],[Coin Name]],1)="C",
LEFT(Table5[[#This Row],[Coin Name]],1)="D"
), "Yes", "No")</f>
        <v>No</v>
      </c>
    </row>
    <row r="69" spans="1:3" x14ac:dyDescent="0.3">
      <c r="A69" s="20" t="s">
        <v>453</v>
      </c>
      <c r="B69" s="21">
        <v>68082352</v>
      </c>
      <c r="C69" t="str">
        <f>IF(OR(
LEFT(Table5[[#This Row],[Coin Name]],1)="A",
LEFT(Table5[[#This Row],[Coin Name]],1)="E",
LEFT(Table5[[#This Row],[Coin Name]],1)="I",
LEFT(Table5[[#This Row],[Coin Name]],1)="O",
LEFT(Table5[[#This Row],[Coin Name]],1)="U",
LEFT(Table5[[#This Row],[Coin Name]],1)="B",
LEFT(Table5[[#This Row],[Coin Name]],1)="C",
LEFT(Table5[[#This Row],[Coin Name]],1)="D"
), "Yes", "No")</f>
        <v>No</v>
      </c>
    </row>
    <row r="70" spans="1:3" x14ac:dyDescent="0.3">
      <c r="A70" s="18" t="s">
        <v>459</v>
      </c>
      <c r="B70" s="19">
        <v>121069</v>
      </c>
      <c r="C70" t="str">
        <f>IF(OR(
LEFT(Table5[[#This Row],[Coin Name]],1)="A",
LEFT(Table5[[#This Row],[Coin Name]],1)="E",
LEFT(Table5[[#This Row],[Coin Name]],1)="I",
LEFT(Table5[[#This Row],[Coin Name]],1)="O",
LEFT(Table5[[#This Row],[Coin Name]],1)="U",
LEFT(Table5[[#This Row],[Coin Name]],1)="B",
LEFT(Table5[[#This Row],[Coin Name]],1)="C",
LEFT(Table5[[#This Row],[Coin Name]],1)="D"
), "Yes", "No")</f>
        <v>No</v>
      </c>
    </row>
    <row r="71" spans="1:3" x14ac:dyDescent="0.3">
      <c r="A71" s="20" t="s">
        <v>1286</v>
      </c>
      <c r="B71" s="21">
        <v>7857060</v>
      </c>
      <c r="C71" t="str">
        <f>IF(OR(
LEFT(Table5[[#This Row],[Coin Name]],1)="A",
LEFT(Table5[[#This Row],[Coin Name]],1)="E",
LEFT(Table5[[#This Row],[Coin Name]],1)="I",
LEFT(Table5[[#This Row],[Coin Name]],1)="O",
LEFT(Table5[[#This Row],[Coin Name]],1)="U",
LEFT(Table5[[#This Row],[Coin Name]],1)="B",
LEFT(Table5[[#This Row],[Coin Name]],1)="C",
LEFT(Table5[[#This Row],[Coin Name]],1)="D"
), "Yes", "No")</f>
        <v>No</v>
      </c>
    </row>
    <row r="72" spans="1:3" x14ac:dyDescent="0.3">
      <c r="A72" s="18" t="s">
        <v>471</v>
      </c>
      <c r="B72" s="19">
        <v>129282</v>
      </c>
      <c r="C72" t="str">
        <f>IF(OR(
LEFT(Table5[[#This Row],[Coin Name]],1)="A",
LEFT(Table5[[#This Row],[Coin Name]],1)="E",
LEFT(Table5[[#This Row],[Coin Name]],1)="I",
LEFT(Table5[[#This Row],[Coin Name]],1)="O",
LEFT(Table5[[#This Row],[Coin Name]],1)="U",
LEFT(Table5[[#This Row],[Coin Name]],1)="B",
LEFT(Table5[[#This Row],[Coin Name]],1)="C",
LEFT(Table5[[#This Row],[Coin Name]],1)="D"
), "Yes", "No")</f>
        <v>No</v>
      </c>
    </row>
    <row r="73" spans="1:3" x14ac:dyDescent="0.3">
      <c r="A73" s="20" t="s">
        <v>478</v>
      </c>
      <c r="B73" s="21">
        <v>5538677</v>
      </c>
      <c r="C73" t="str">
        <f>IF(OR(
LEFT(Table5[[#This Row],[Coin Name]],1)="A",
LEFT(Table5[[#This Row],[Coin Name]],1)="E",
LEFT(Table5[[#This Row],[Coin Name]],1)="I",
LEFT(Table5[[#This Row],[Coin Name]],1)="O",
LEFT(Table5[[#This Row],[Coin Name]],1)="U",
LEFT(Table5[[#This Row],[Coin Name]],1)="B",
LEFT(Table5[[#This Row],[Coin Name]],1)="C",
LEFT(Table5[[#This Row],[Coin Name]],1)="D"
), "Yes", "No")</f>
        <v>Yes</v>
      </c>
    </row>
    <row r="74" spans="1:3" x14ac:dyDescent="0.3">
      <c r="A74" s="18" t="s">
        <v>485</v>
      </c>
      <c r="B74" s="19">
        <v>9778739</v>
      </c>
      <c r="C74" t="str">
        <f>IF(OR(
LEFT(Table5[[#This Row],[Coin Name]],1)="A",
LEFT(Table5[[#This Row],[Coin Name]],1)="E",
LEFT(Table5[[#This Row],[Coin Name]],1)="I",
LEFT(Table5[[#This Row],[Coin Name]],1)="O",
LEFT(Table5[[#This Row],[Coin Name]],1)="U",
LEFT(Table5[[#This Row],[Coin Name]],1)="B",
LEFT(Table5[[#This Row],[Coin Name]],1)="C",
LEFT(Table5[[#This Row],[Coin Name]],1)="D"
), "Yes", "No")</f>
        <v>No</v>
      </c>
    </row>
    <row r="75" spans="1:3" x14ac:dyDescent="0.3">
      <c r="A75" s="20" t="s">
        <v>491</v>
      </c>
      <c r="B75" s="21">
        <v>50371789</v>
      </c>
      <c r="C75" t="str">
        <f>IF(OR(
LEFT(Table5[[#This Row],[Coin Name]],1)="A",
LEFT(Table5[[#This Row],[Coin Name]],1)="E",
LEFT(Table5[[#This Row],[Coin Name]],1)="I",
LEFT(Table5[[#This Row],[Coin Name]],1)="O",
LEFT(Table5[[#This Row],[Coin Name]],1)="U",
LEFT(Table5[[#This Row],[Coin Name]],1)="B",
LEFT(Table5[[#This Row],[Coin Name]],1)="C",
LEFT(Table5[[#This Row],[Coin Name]],1)="D"
), "Yes", "No")</f>
        <v>No</v>
      </c>
    </row>
    <row r="76" spans="1:3" x14ac:dyDescent="0.3">
      <c r="A76" s="18" t="s">
        <v>498</v>
      </c>
      <c r="B76" s="19">
        <v>1391859</v>
      </c>
      <c r="C76" t="str">
        <f>IF(OR(
LEFT(Table5[[#This Row],[Coin Name]],1)="A",
LEFT(Table5[[#This Row],[Coin Name]],1)="E",
LEFT(Table5[[#This Row],[Coin Name]],1)="I",
LEFT(Table5[[#This Row],[Coin Name]],1)="O",
LEFT(Table5[[#This Row],[Coin Name]],1)="U",
LEFT(Table5[[#This Row],[Coin Name]],1)="B",
LEFT(Table5[[#This Row],[Coin Name]],1)="C",
LEFT(Table5[[#This Row],[Coin Name]],1)="D"
), "Yes", "No")</f>
        <v>No</v>
      </c>
    </row>
    <row r="77" spans="1:3" x14ac:dyDescent="0.3">
      <c r="A77" s="20" t="s">
        <v>504</v>
      </c>
      <c r="B77" s="21">
        <v>75600</v>
      </c>
      <c r="C77" t="str">
        <f>IF(OR(
LEFT(Table5[[#This Row],[Coin Name]],1)="A",
LEFT(Table5[[#This Row],[Coin Name]],1)="E",
LEFT(Table5[[#This Row],[Coin Name]],1)="I",
LEFT(Table5[[#This Row],[Coin Name]],1)="O",
LEFT(Table5[[#This Row],[Coin Name]],1)="U",
LEFT(Table5[[#This Row],[Coin Name]],1)="B",
LEFT(Table5[[#This Row],[Coin Name]],1)="C",
LEFT(Table5[[#This Row],[Coin Name]],1)="D"
), "Yes", "No")</f>
        <v>Yes</v>
      </c>
    </row>
    <row r="78" spans="1:3" x14ac:dyDescent="0.3">
      <c r="A78" s="18" t="s">
        <v>510</v>
      </c>
      <c r="B78" s="19">
        <v>18844509</v>
      </c>
      <c r="C78" t="str">
        <f>IF(OR(
LEFT(Table5[[#This Row],[Coin Name]],1)="A",
LEFT(Table5[[#This Row],[Coin Name]],1)="E",
LEFT(Table5[[#This Row],[Coin Name]],1)="I",
LEFT(Table5[[#This Row],[Coin Name]],1)="O",
LEFT(Table5[[#This Row],[Coin Name]],1)="U",
LEFT(Table5[[#This Row],[Coin Name]],1)="B",
LEFT(Table5[[#This Row],[Coin Name]],1)="C",
LEFT(Table5[[#This Row],[Coin Name]],1)="D"
), "Yes", "No")</f>
        <v>Yes</v>
      </c>
    </row>
    <row r="79" spans="1:3" x14ac:dyDescent="0.3">
      <c r="A79" s="20" t="s">
        <v>515</v>
      </c>
      <c r="B79" s="21">
        <v>8324722</v>
      </c>
      <c r="C79" t="str">
        <f>IF(OR(
LEFT(Table5[[#This Row],[Coin Name]],1)="A",
LEFT(Table5[[#This Row],[Coin Name]],1)="E",
LEFT(Table5[[#This Row],[Coin Name]],1)="I",
LEFT(Table5[[#This Row],[Coin Name]],1)="O",
LEFT(Table5[[#This Row],[Coin Name]],1)="U",
LEFT(Table5[[#This Row],[Coin Name]],1)="B",
LEFT(Table5[[#This Row],[Coin Name]],1)="C",
LEFT(Table5[[#This Row],[Coin Name]],1)="D"
), "Yes", "No")</f>
        <v>No</v>
      </c>
    </row>
    <row r="80" spans="1:3" x14ac:dyDescent="0.3">
      <c r="A80" s="18" t="s">
        <v>522</v>
      </c>
      <c r="B80" s="19">
        <v>467706</v>
      </c>
      <c r="C80" t="str">
        <f>IF(OR(
LEFT(Table5[[#This Row],[Coin Name]],1)="A",
LEFT(Table5[[#This Row],[Coin Name]],1)="E",
LEFT(Table5[[#This Row],[Coin Name]],1)="I",
LEFT(Table5[[#This Row],[Coin Name]],1)="O",
LEFT(Table5[[#This Row],[Coin Name]],1)="U",
LEFT(Table5[[#This Row],[Coin Name]],1)="B",
LEFT(Table5[[#This Row],[Coin Name]],1)="C",
LEFT(Table5[[#This Row],[Coin Name]],1)="D"
), "Yes", "No")</f>
        <v>No</v>
      </c>
    </row>
    <row r="81" spans="1:3" x14ac:dyDescent="0.3">
      <c r="A81" s="20" t="s">
        <v>528</v>
      </c>
      <c r="B81" s="21">
        <v>6727701</v>
      </c>
      <c r="C81" t="str">
        <f>IF(OR(
LEFT(Table5[[#This Row],[Coin Name]],1)="A",
LEFT(Table5[[#This Row],[Coin Name]],1)="E",
LEFT(Table5[[#This Row],[Coin Name]],1)="I",
LEFT(Table5[[#This Row],[Coin Name]],1)="O",
LEFT(Table5[[#This Row],[Coin Name]],1)="U",
LEFT(Table5[[#This Row],[Coin Name]],1)="B",
LEFT(Table5[[#This Row],[Coin Name]],1)="C",
LEFT(Table5[[#This Row],[Coin Name]],1)="D"
), "Yes", "No")</f>
        <v>No</v>
      </c>
    </row>
    <row r="82" spans="1:3" x14ac:dyDescent="0.3">
      <c r="A82" s="18" t="s">
        <v>535</v>
      </c>
      <c r="B82" s="19">
        <v>9982050</v>
      </c>
      <c r="C82" t="str">
        <f>IF(OR(
LEFT(Table5[[#This Row],[Coin Name]],1)="A",
LEFT(Table5[[#This Row],[Coin Name]],1)="E",
LEFT(Table5[[#This Row],[Coin Name]],1)="I",
LEFT(Table5[[#This Row],[Coin Name]],1)="O",
LEFT(Table5[[#This Row],[Coin Name]],1)="U",
LEFT(Table5[[#This Row],[Coin Name]],1)="B",
LEFT(Table5[[#This Row],[Coin Name]],1)="C",
LEFT(Table5[[#This Row],[Coin Name]],1)="D"
), "Yes", "No")</f>
        <v>Yes</v>
      </c>
    </row>
    <row r="83" spans="1:3" x14ac:dyDescent="0.3">
      <c r="A83" s="20" t="s">
        <v>541</v>
      </c>
      <c r="B83" s="21">
        <v>11510400</v>
      </c>
      <c r="C83" t="str">
        <f>IF(OR(
LEFT(Table5[[#This Row],[Coin Name]],1)="A",
LEFT(Table5[[#This Row],[Coin Name]],1)="E",
LEFT(Table5[[#This Row],[Coin Name]],1)="I",
LEFT(Table5[[#This Row],[Coin Name]],1)="O",
LEFT(Table5[[#This Row],[Coin Name]],1)="U",
LEFT(Table5[[#This Row],[Coin Name]],1)="B",
LEFT(Table5[[#This Row],[Coin Name]],1)="C",
LEFT(Table5[[#This Row],[Coin Name]],1)="D"
), "Yes", "No")</f>
        <v>Yes</v>
      </c>
    </row>
    <row r="84" spans="1:3" x14ac:dyDescent="0.3">
      <c r="A84" s="18" t="s">
        <v>548</v>
      </c>
      <c r="B84" s="19">
        <v>1225263</v>
      </c>
      <c r="C84" t="str">
        <f>IF(OR(
LEFT(Table5[[#This Row],[Coin Name]],1)="A",
LEFT(Table5[[#This Row],[Coin Name]],1)="E",
LEFT(Table5[[#This Row],[Coin Name]],1)="I",
LEFT(Table5[[#This Row],[Coin Name]],1)="O",
LEFT(Table5[[#This Row],[Coin Name]],1)="U",
LEFT(Table5[[#This Row],[Coin Name]],1)="B",
LEFT(Table5[[#This Row],[Coin Name]],1)="C",
LEFT(Table5[[#This Row],[Coin Name]],1)="D"
), "Yes", "No")</f>
        <v>Yes</v>
      </c>
    </row>
    <row r="85" spans="1:3" x14ac:dyDescent="0.3">
      <c r="A85" s="20" t="s">
        <v>553</v>
      </c>
      <c r="B85" s="21">
        <v>2642277</v>
      </c>
      <c r="C85" t="str">
        <f>IF(OR(
LEFT(Table5[[#This Row],[Coin Name]],1)="A",
LEFT(Table5[[#This Row],[Coin Name]],1)="E",
LEFT(Table5[[#This Row],[Coin Name]],1)="I",
LEFT(Table5[[#This Row],[Coin Name]],1)="O",
LEFT(Table5[[#This Row],[Coin Name]],1)="U",
LEFT(Table5[[#This Row],[Coin Name]],1)="B",
LEFT(Table5[[#This Row],[Coin Name]],1)="C",
LEFT(Table5[[#This Row],[Coin Name]],1)="D"
), "Yes", "No")</f>
        <v>No</v>
      </c>
    </row>
    <row r="86" spans="1:3" x14ac:dyDescent="0.3">
      <c r="A86" s="18" t="s">
        <v>559</v>
      </c>
      <c r="B86" s="19">
        <v>64349</v>
      </c>
      <c r="C86" t="str">
        <f>IF(OR(
LEFT(Table5[[#This Row],[Coin Name]],1)="A",
LEFT(Table5[[#This Row],[Coin Name]],1)="E",
LEFT(Table5[[#This Row],[Coin Name]],1)="I",
LEFT(Table5[[#This Row],[Coin Name]],1)="O",
LEFT(Table5[[#This Row],[Coin Name]],1)="U",
LEFT(Table5[[#This Row],[Coin Name]],1)="B",
LEFT(Table5[[#This Row],[Coin Name]],1)="C",
LEFT(Table5[[#This Row],[Coin Name]],1)="D"
), "Yes", "No")</f>
        <v>Yes</v>
      </c>
    </row>
    <row r="87" spans="1:3" x14ac:dyDescent="0.3">
      <c r="A87" s="20" t="s">
        <v>565</v>
      </c>
      <c r="B87" s="21">
        <v>1704625</v>
      </c>
      <c r="C87" t="str">
        <f>IF(OR(
LEFT(Table5[[#This Row],[Coin Name]],1)="A",
LEFT(Table5[[#This Row],[Coin Name]],1)="E",
LEFT(Table5[[#This Row],[Coin Name]],1)="I",
LEFT(Table5[[#This Row],[Coin Name]],1)="O",
LEFT(Table5[[#This Row],[Coin Name]],1)="U",
LEFT(Table5[[#This Row],[Coin Name]],1)="B",
LEFT(Table5[[#This Row],[Coin Name]],1)="C",
LEFT(Table5[[#This Row],[Coin Name]],1)="D"
), "Yes", "No")</f>
        <v>Yes</v>
      </c>
    </row>
    <row r="88" spans="1:3" x14ac:dyDescent="0.3">
      <c r="A88" s="18" t="s">
        <v>572</v>
      </c>
      <c r="B88" s="19">
        <v>5524554</v>
      </c>
      <c r="C88" t="str">
        <f>IF(OR(
LEFT(Table5[[#This Row],[Coin Name]],1)="A",
LEFT(Table5[[#This Row],[Coin Name]],1)="E",
LEFT(Table5[[#This Row],[Coin Name]],1)="I",
LEFT(Table5[[#This Row],[Coin Name]],1)="O",
LEFT(Table5[[#This Row],[Coin Name]],1)="U",
LEFT(Table5[[#This Row],[Coin Name]],1)="B",
LEFT(Table5[[#This Row],[Coin Name]],1)="C",
LEFT(Table5[[#This Row],[Coin Name]],1)="D"
), "Yes", "No")</f>
        <v>No</v>
      </c>
    </row>
    <row r="89" spans="1:3" x14ac:dyDescent="0.3">
      <c r="A89" s="20" t="s">
        <v>578</v>
      </c>
      <c r="B89" s="21">
        <v>43405</v>
      </c>
      <c r="C89" t="str">
        <f>IF(OR(
LEFT(Table5[[#This Row],[Coin Name]],1)="A",
LEFT(Table5[[#This Row],[Coin Name]],1)="E",
LEFT(Table5[[#This Row],[Coin Name]],1)="I",
LEFT(Table5[[#This Row],[Coin Name]],1)="O",
LEFT(Table5[[#This Row],[Coin Name]],1)="U",
LEFT(Table5[[#This Row],[Coin Name]],1)="B",
LEFT(Table5[[#This Row],[Coin Name]],1)="C",
LEFT(Table5[[#This Row],[Coin Name]],1)="D"
), "Yes", "No")</f>
        <v>Yes</v>
      </c>
    </row>
    <row r="90" spans="1:3" x14ac:dyDescent="0.3">
      <c r="A90" s="18" t="s">
        <v>584</v>
      </c>
      <c r="B90" s="19">
        <v>228239</v>
      </c>
      <c r="C90" t="str">
        <f>IF(OR(
LEFT(Table5[[#This Row],[Coin Name]],1)="A",
LEFT(Table5[[#This Row],[Coin Name]],1)="E",
LEFT(Table5[[#This Row],[Coin Name]],1)="I",
LEFT(Table5[[#This Row],[Coin Name]],1)="O",
LEFT(Table5[[#This Row],[Coin Name]],1)="U",
LEFT(Table5[[#This Row],[Coin Name]],1)="B",
LEFT(Table5[[#This Row],[Coin Name]],1)="C",
LEFT(Table5[[#This Row],[Coin Name]],1)="D"
), "Yes", "No")</f>
        <v>No</v>
      </c>
    </row>
    <row r="91" spans="1:3" x14ac:dyDescent="0.3">
      <c r="A91" s="20" t="s">
        <v>589</v>
      </c>
      <c r="B91" s="21">
        <v>706323</v>
      </c>
      <c r="C91" t="str">
        <f>IF(OR(
LEFT(Table5[[#This Row],[Coin Name]],1)="A",
LEFT(Table5[[#This Row],[Coin Name]],1)="E",
LEFT(Table5[[#This Row],[Coin Name]],1)="I",
LEFT(Table5[[#This Row],[Coin Name]],1)="O",
LEFT(Table5[[#This Row],[Coin Name]],1)="U",
LEFT(Table5[[#This Row],[Coin Name]],1)="B",
LEFT(Table5[[#This Row],[Coin Name]],1)="C",
LEFT(Table5[[#This Row],[Coin Name]],1)="D"
), "Yes", "No")</f>
        <v>Yes</v>
      </c>
    </row>
    <row r="92" spans="1:3" x14ac:dyDescent="0.3">
      <c r="A92" s="18" t="s">
        <v>595</v>
      </c>
      <c r="B92" s="19">
        <v>357326</v>
      </c>
      <c r="C92" t="str">
        <f>IF(OR(
LEFT(Table5[[#This Row],[Coin Name]],1)="A",
LEFT(Table5[[#This Row],[Coin Name]],1)="E",
LEFT(Table5[[#This Row],[Coin Name]],1)="I",
LEFT(Table5[[#This Row],[Coin Name]],1)="O",
LEFT(Table5[[#This Row],[Coin Name]],1)="U",
LEFT(Table5[[#This Row],[Coin Name]],1)="B",
LEFT(Table5[[#This Row],[Coin Name]],1)="C",
LEFT(Table5[[#This Row],[Coin Name]],1)="D"
), "Yes", "No")</f>
        <v>Yes</v>
      </c>
    </row>
    <row r="93" spans="1:3" x14ac:dyDescent="0.3">
      <c r="A93" s="20" t="s">
        <v>601</v>
      </c>
      <c r="B93" s="21">
        <v>5622803</v>
      </c>
      <c r="C93" t="str">
        <f>IF(OR(
LEFT(Table5[[#This Row],[Coin Name]],1)="A",
LEFT(Table5[[#This Row],[Coin Name]],1)="E",
LEFT(Table5[[#This Row],[Coin Name]],1)="I",
LEFT(Table5[[#This Row],[Coin Name]],1)="O",
LEFT(Table5[[#This Row],[Coin Name]],1)="U",
LEFT(Table5[[#This Row],[Coin Name]],1)="B",
LEFT(Table5[[#This Row],[Coin Name]],1)="C",
LEFT(Table5[[#This Row],[Coin Name]],1)="D"
), "Yes", "No")</f>
        <v>Yes</v>
      </c>
    </row>
    <row r="94" spans="1:3" x14ac:dyDescent="0.3">
      <c r="A94" s="18" t="s">
        <v>607</v>
      </c>
      <c r="B94" s="19">
        <v>181555</v>
      </c>
      <c r="C94" t="str">
        <f>IF(OR(
LEFT(Table5[[#This Row],[Coin Name]],1)="A",
LEFT(Table5[[#This Row],[Coin Name]],1)="E",
LEFT(Table5[[#This Row],[Coin Name]],1)="I",
LEFT(Table5[[#This Row],[Coin Name]],1)="O",
LEFT(Table5[[#This Row],[Coin Name]],1)="U",
LEFT(Table5[[#This Row],[Coin Name]],1)="B",
LEFT(Table5[[#This Row],[Coin Name]],1)="C",
LEFT(Table5[[#This Row],[Coin Name]],1)="D"
), "Yes", "No")</f>
        <v>No</v>
      </c>
    </row>
    <row r="95" spans="1:3" x14ac:dyDescent="0.3">
      <c r="A95" s="20" t="s">
        <v>614</v>
      </c>
      <c r="B95" s="21">
        <v>1002</v>
      </c>
      <c r="C95" t="str">
        <f>IF(OR(
LEFT(Table5[[#This Row],[Coin Name]],1)="A",
LEFT(Table5[[#This Row],[Coin Name]],1)="E",
LEFT(Table5[[#This Row],[Coin Name]],1)="I",
LEFT(Table5[[#This Row],[Coin Name]],1)="O",
LEFT(Table5[[#This Row],[Coin Name]],1)="U",
LEFT(Table5[[#This Row],[Coin Name]],1)="B",
LEFT(Table5[[#This Row],[Coin Name]],1)="C",
LEFT(Table5[[#This Row],[Coin Name]],1)="D"
), "Yes", "No")</f>
        <v>No</v>
      </c>
    </row>
    <row r="96" spans="1:3" x14ac:dyDescent="0.3">
      <c r="A96" s="18" t="s">
        <v>620</v>
      </c>
      <c r="B96" s="19">
        <v>189918</v>
      </c>
      <c r="C96" t="str">
        <f>IF(OR(
LEFT(Table5[[#This Row],[Coin Name]],1)="A",
LEFT(Table5[[#This Row],[Coin Name]],1)="E",
LEFT(Table5[[#This Row],[Coin Name]],1)="I",
LEFT(Table5[[#This Row],[Coin Name]],1)="O",
LEFT(Table5[[#This Row],[Coin Name]],1)="U",
LEFT(Table5[[#This Row],[Coin Name]],1)="B",
LEFT(Table5[[#This Row],[Coin Name]],1)="C",
LEFT(Table5[[#This Row],[Coin Name]],1)="D"
), "Yes", "No")</f>
        <v>Yes</v>
      </c>
    </row>
    <row r="97" spans="1:3" x14ac:dyDescent="0.3">
      <c r="A97" s="20" t="s">
        <v>626</v>
      </c>
      <c r="B97" s="21">
        <v>4765140</v>
      </c>
      <c r="C97" t="str">
        <f>IF(OR(
LEFT(Table5[[#This Row],[Coin Name]],1)="A",
LEFT(Table5[[#This Row],[Coin Name]],1)="E",
LEFT(Table5[[#This Row],[Coin Name]],1)="I",
LEFT(Table5[[#This Row],[Coin Name]],1)="O",
LEFT(Table5[[#This Row],[Coin Name]],1)="U",
LEFT(Table5[[#This Row],[Coin Name]],1)="B",
LEFT(Table5[[#This Row],[Coin Name]],1)="C",
LEFT(Table5[[#This Row],[Coin Name]],1)="D"
), "Yes", "No")</f>
        <v>Yes</v>
      </c>
    </row>
    <row r="98" spans="1:3" x14ac:dyDescent="0.3">
      <c r="A98" s="18" t="s">
        <v>632</v>
      </c>
      <c r="B98" s="19">
        <v>4492892</v>
      </c>
      <c r="C98" t="str">
        <f>IF(OR(
LEFT(Table5[[#This Row],[Coin Name]],1)="A",
LEFT(Table5[[#This Row],[Coin Name]],1)="E",
LEFT(Table5[[#This Row],[Coin Name]],1)="I",
LEFT(Table5[[#This Row],[Coin Name]],1)="O",
LEFT(Table5[[#This Row],[Coin Name]],1)="U",
LEFT(Table5[[#This Row],[Coin Name]],1)="B",
LEFT(Table5[[#This Row],[Coin Name]],1)="C",
LEFT(Table5[[#This Row],[Coin Name]],1)="D"
), "Yes", "No")</f>
        <v>No</v>
      </c>
    </row>
    <row r="99" spans="1:3" x14ac:dyDescent="0.3">
      <c r="A99" s="20" t="s">
        <v>638</v>
      </c>
      <c r="B99" s="21">
        <v>119734</v>
      </c>
      <c r="C99" t="str">
        <f>IF(OR(
LEFT(Table5[[#This Row],[Coin Name]],1)="A",
LEFT(Table5[[#This Row],[Coin Name]],1)="E",
LEFT(Table5[[#This Row],[Coin Name]],1)="I",
LEFT(Table5[[#This Row],[Coin Name]],1)="O",
LEFT(Table5[[#This Row],[Coin Name]],1)="U",
LEFT(Table5[[#This Row],[Coin Name]],1)="B",
LEFT(Table5[[#This Row],[Coin Name]],1)="C",
LEFT(Table5[[#This Row],[Coin Name]],1)="D"
), "Yes", "No")</f>
        <v>Yes</v>
      </c>
    </row>
    <row r="100" spans="1:3" x14ac:dyDescent="0.3">
      <c r="A100" s="18" t="s">
        <v>644</v>
      </c>
      <c r="B100" s="19">
        <v>32485149</v>
      </c>
      <c r="C100" t="str">
        <f>IF(OR(
LEFT(Table5[[#This Row],[Coin Name]],1)="A",
LEFT(Table5[[#This Row],[Coin Name]],1)="E",
LEFT(Table5[[#This Row],[Coin Name]],1)="I",
LEFT(Table5[[#This Row],[Coin Name]],1)="O",
LEFT(Table5[[#This Row],[Coin Name]],1)="U",
LEFT(Table5[[#This Row],[Coin Name]],1)="B",
LEFT(Table5[[#This Row],[Coin Name]],1)="C",
LEFT(Table5[[#This Row],[Coin Name]],1)="D"
), "Yes", "No")</f>
        <v>No</v>
      </c>
    </row>
    <row r="101" spans="1:3" x14ac:dyDescent="0.3">
      <c r="A101" s="20" t="s">
        <v>651</v>
      </c>
      <c r="B101" s="21">
        <v>138</v>
      </c>
      <c r="C101" t="str">
        <f>IF(OR(
LEFT(Table5[[#This Row],[Coin Name]],1)="A",
LEFT(Table5[[#This Row],[Coin Name]],1)="E",
LEFT(Table5[[#This Row],[Coin Name]],1)="I",
LEFT(Table5[[#This Row],[Coin Name]],1)="O",
LEFT(Table5[[#This Row],[Coin Name]],1)="U",
LEFT(Table5[[#This Row],[Coin Name]],1)="B",
LEFT(Table5[[#This Row],[Coin Name]],1)="C",
LEFT(Table5[[#This Row],[Coin Name]],1)="D"
), "Yes", "No")</f>
        <v>No</v>
      </c>
    </row>
    <row r="102" spans="1:3" x14ac:dyDescent="0.3">
      <c r="A102" s="18" t="s">
        <v>657</v>
      </c>
      <c r="B102" s="19">
        <v>499518</v>
      </c>
      <c r="C102" t="str">
        <f>IF(OR(
LEFT(Table5[[#This Row],[Coin Name]],1)="A",
LEFT(Table5[[#This Row],[Coin Name]],1)="E",
LEFT(Table5[[#This Row],[Coin Name]],1)="I",
LEFT(Table5[[#This Row],[Coin Name]],1)="O",
LEFT(Table5[[#This Row],[Coin Name]],1)="U",
LEFT(Table5[[#This Row],[Coin Name]],1)="B",
LEFT(Table5[[#This Row],[Coin Name]],1)="C",
LEFT(Table5[[#This Row],[Coin Name]],1)="D"
), "Yes", "No")</f>
        <v>No</v>
      </c>
    </row>
    <row r="103" spans="1:3" x14ac:dyDescent="0.3">
      <c r="A103" s="20" t="s">
        <v>663</v>
      </c>
      <c r="B103" s="21">
        <v>6112676</v>
      </c>
      <c r="C103" t="str">
        <f>IF(OR(
LEFT(Table5[[#This Row],[Coin Name]],1)="A",
LEFT(Table5[[#This Row],[Coin Name]],1)="E",
LEFT(Table5[[#This Row],[Coin Name]],1)="I",
LEFT(Table5[[#This Row],[Coin Name]],1)="O",
LEFT(Table5[[#This Row],[Coin Name]],1)="U",
LEFT(Table5[[#This Row],[Coin Name]],1)="B",
LEFT(Table5[[#This Row],[Coin Name]],1)="C",
LEFT(Table5[[#This Row],[Coin Name]],1)="D"
), "Yes", "No")</f>
        <v>No</v>
      </c>
    </row>
    <row r="104" spans="1:3" x14ac:dyDescent="0.3">
      <c r="A104" s="18" t="s">
        <v>669</v>
      </c>
      <c r="B104" s="19">
        <v>4251361</v>
      </c>
      <c r="C104" t="str">
        <f>IF(OR(
LEFT(Table5[[#This Row],[Coin Name]],1)="A",
LEFT(Table5[[#This Row],[Coin Name]],1)="E",
LEFT(Table5[[#This Row],[Coin Name]],1)="I",
LEFT(Table5[[#This Row],[Coin Name]],1)="O",
LEFT(Table5[[#This Row],[Coin Name]],1)="U",
LEFT(Table5[[#This Row],[Coin Name]],1)="B",
LEFT(Table5[[#This Row],[Coin Name]],1)="C",
LEFT(Table5[[#This Row],[Coin Name]],1)="D"
), "Yes", "No")</f>
        <v>No</v>
      </c>
    </row>
    <row r="105" spans="1:3" x14ac:dyDescent="0.3">
      <c r="A105" s="20" t="s">
        <v>675</v>
      </c>
      <c r="B105" s="21">
        <v>316134</v>
      </c>
      <c r="C105" t="str">
        <f>IF(OR(
LEFT(Table5[[#This Row],[Coin Name]],1)="A",
LEFT(Table5[[#This Row],[Coin Name]],1)="E",
LEFT(Table5[[#This Row],[Coin Name]],1)="I",
LEFT(Table5[[#This Row],[Coin Name]],1)="O",
LEFT(Table5[[#This Row],[Coin Name]],1)="U",
LEFT(Table5[[#This Row],[Coin Name]],1)="B",
LEFT(Table5[[#This Row],[Coin Name]],1)="C",
LEFT(Table5[[#This Row],[Coin Name]],1)="D"
), "Yes", "No")</f>
        <v>No</v>
      </c>
    </row>
    <row r="106" spans="1:3" x14ac:dyDescent="0.3">
      <c r="A106" s="18" t="s">
        <v>681</v>
      </c>
      <c r="B106" s="19">
        <v>542805</v>
      </c>
      <c r="C106" t="str">
        <f>IF(OR(
LEFT(Table5[[#This Row],[Coin Name]],1)="A",
LEFT(Table5[[#This Row],[Coin Name]],1)="E",
LEFT(Table5[[#This Row],[Coin Name]],1)="I",
LEFT(Table5[[#This Row],[Coin Name]],1)="O",
LEFT(Table5[[#This Row],[Coin Name]],1)="U",
LEFT(Table5[[#This Row],[Coin Name]],1)="B",
LEFT(Table5[[#This Row],[Coin Name]],1)="C",
LEFT(Table5[[#This Row],[Coin Name]],1)="D"
), "Yes", "No")</f>
        <v>No</v>
      </c>
    </row>
    <row r="107" spans="1:3" x14ac:dyDescent="0.3">
      <c r="A107" s="20" t="s">
        <v>688</v>
      </c>
      <c r="B107" s="21">
        <v>1406872</v>
      </c>
      <c r="C107" t="str">
        <f>IF(OR(
LEFT(Table5[[#This Row],[Coin Name]],1)="A",
LEFT(Table5[[#This Row],[Coin Name]],1)="E",
LEFT(Table5[[#This Row],[Coin Name]],1)="I",
LEFT(Table5[[#This Row],[Coin Name]],1)="O",
LEFT(Table5[[#This Row],[Coin Name]],1)="U",
LEFT(Table5[[#This Row],[Coin Name]],1)="B",
LEFT(Table5[[#This Row],[Coin Name]],1)="C",
LEFT(Table5[[#This Row],[Coin Name]],1)="D"
), "Yes", "No")</f>
        <v>No</v>
      </c>
    </row>
    <row r="108" spans="1:3" x14ac:dyDescent="0.3">
      <c r="A108" s="18" t="s">
        <v>693</v>
      </c>
      <c r="B108" s="19">
        <v>686075</v>
      </c>
      <c r="C108" t="str">
        <f>IF(OR(
LEFT(Table5[[#This Row],[Coin Name]],1)="A",
LEFT(Table5[[#This Row],[Coin Name]],1)="E",
LEFT(Table5[[#This Row],[Coin Name]],1)="I",
LEFT(Table5[[#This Row],[Coin Name]],1)="O",
LEFT(Table5[[#This Row],[Coin Name]],1)="U",
LEFT(Table5[[#This Row],[Coin Name]],1)="B",
LEFT(Table5[[#This Row],[Coin Name]],1)="C",
LEFT(Table5[[#This Row],[Coin Name]],1)="D"
), "Yes", "No")</f>
        <v>Yes</v>
      </c>
    </row>
    <row r="109" spans="1:3" x14ac:dyDescent="0.3">
      <c r="A109" s="20" t="s">
        <v>700</v>
      </c>
      <c r="B109" s="21">
        <v>34241</v>
      </c>
      <c r="C109" t="str">
        <f>IF(OR(
LEFT(Table5[[#This Row],[Coin Name]],1)="A",
LEFT(Table5[[#This Row],[Coin Name]],1)="E",
LEFT(Table5[[#This Row],[Coin Name]],1)="I",
LEFT(Table5[[#This Row],[Coin Name]],1)="O",
LEFT(Table5[[#This Row],[Coin Name]],1)="U",
LEFT(Table5[[#This Row],[Coin Name]],1)="B",
LEFT(Table5[[#This Row],[Coin Name]],1)="C",
LEFT(Table5[[#This Row],[Coin Name]],1)="D"
), "Yes", "No")</f>
        <v>No</v>
      </c>
    </row>
    <row r="110" spans="1:3" x14ac:dyDescent="0.3">
      <c r="A110" s="18" t="s">
        <v>706</v>
      </c>
      <c r="B110" s="19">
        <v>810252</v>
      </c>
      <c r="C110" t="str">
        <f>IF(OR(
LEFT(Table5[[#This Row],[Coin Name]],1)="A",
LEFT(Table5[[#This Row],[Coin Name]],1)="E",
LEFT(Table5[[#This Row],[Coin Name]],1)="I",
LEFT(Table5[[#This Row],[Coin Name]],1)="O",
LEFT(Table5[[#This Row],[Coin Name]],1)="U",
LEFT(Table5[[#This Row],[Coin Name]],1)="B",
LEFT(Table5[[#This Row],[Coin Name]],1)="C",
LEFT(Table5[[#This Row],[Coin Name]],1)="D"
), "Yes", "No")</f>
        <v>Yes</v>
      </c>
    </row>
    <row r="111" spans="1:3" x14ac:dyDescent="0.3">
      <c r="A111" s="20" t="s">
        <v>713</v>
      </c>
      <c r="B111" s="21">
        <v>8799764</v>
      </c>
      <c r="C111" t="str">
        <f>IF(OR(
LEFT(Table5[[#This Row],[Coin Name]],1)="A",
LEFT(Table5[[#This Row],[Coin Name]],1)="E",
LEFT(Table5[[#This Row],[Coin Name]],1)="I",
LEFT(Table5[[#This Row],[Coin Name]],1)="O",
LEFT(Table5[[#This Row],[Coin Name]],1)="U",
LEFT(Table5[[#This Row],[Coin Name]],1)="B",
LEFT(Table5[[#This Row],[Coin Name]],1)="C",
LEFT(Table5[[#This Row],[Coin Name]],1)="D"
), "Yes", "No")</f>
        <v>Yes</v>
      </c>
    </row>
    <row r="112" spans="1:3" x14ac:dyDescent="0.3">
      <c r="A112" s="18" t="s">
        <v>720</v>
      </c>
      <c r="B112" s="19">
        <v>6405267</v>
      </c>
      <c r="C112" t="str">
        <f>IF(OR(
LEFT(Table5[[#This Row],[Coin Name]],1)="A",
LEFT(Table5[[#This Row],[Coin Name]],1)="E",
LEFT(Table5[[#This Row],[Coin Name]],1)="I",
LEFT(Table5[[#This Row],[Coin Name]],1)="O",
LEFT(Table5[[#This Row],[Coin Name]],1)="U",
LEFT(Table5[[#This Row],[Coin Name]],1)="B",
LEFT(Table5[[#This Row],[Coin Name]],1)="C",
LEFT(Table5[[#This Row],[Coin Name]],1)="D"
), "Yes", "No")</f>
        <v>No</v>
      </c>
    </row>
    <row r="113" spans="1:3" x14ac:dyDescent="0.3">
      <c r="A113" s="20" t="s">
        <v>726</v>
      </c>
      <c r="B113" s="21">
        <v>25910</v>
      </c>
      <c r="C113" t="str">
        <f>IF(OR(
LEFT(Table5[[#This Row],[Coin Name]],1)="A",
LEFT(Table5[[#This Row],[Coin Name]],1)="E",
LEFT(Table5[[#This Row],[Coin Name]],1)="I",
LEFT(Table5[[#This Row],[Coin Name]],1)="O",
LEFT(Table5[[#This Row],[Coin Name]],1)="U",
LEFT(Table5[[#This Row],[Coin Name]],1)="B",
LEFT(Table5[[#This Row],[Coin Name]],1)="C",
LEFT(Table5[[#This Row],[Coin Name]],1)="D"
), "Yes", "No")</f>
        <v>Yes</v>
      </c>
    </row>
    <row r="114" spans="1:3" x14ac:dyDescent="0.3">
      <c r="A114" s="18" t="s">
        <v>732</v>
      </c>
      <c r="B114" s="19">
        <v>95241</v>
      </c>
      <c r="C114" t="str">
        <f>IF(OR(
LEFT(Table5[[#This Row],[Coin Name]],1)="A",
LEFT(Table5[[#This Row],[Coin Name]],1)="E",
LEFT(Table5[[#This Row],[Coin Name]],1)="I",
LEFT(Table5[[#This Row],[Coin Name]],1)="O",
LEFT(Table5[[#This Row],[Coin Name]],1)="U",
LEFT(Table5[[#This Row],[Coin Name]],1)="B",
LEFT(Table5[[#This Row],[Coin Name]],1)="C",
LEFT(Table5[[#This Row],[Coin Name]],1)="D"
), "Yes", "No")</f>
        <v>Yes</v>
      </c>
    </row>
    <row r="115" spans="1:3" x14ac:dyDescent="0.3">
      <c r="A115" s="20" t="s">
        <v>739</v>
      </c>
      <c r="B115" s="21">
        <v>1157910</v>
      </c>
      <c r="C115" t="str">
        <f>IF(OR(
LEFT(Table5[[#This Row],[Coin Name]],1)="A",
LEFT(Table5[[#This Row],[Coin Name]],1)="E",
LEFT(Table5[[#This Row],[Coin Name]],1)="I",
LEFT(Table5[[#This Row],[Coin Name]],1)="O",
LEFT(Table5[[#This Row],[Coin Name]],1)="U",
LEFT(Table5[[#This Row],[Coin Name]],1)="B",
LEFT(Table5[[#This Row],[Coin Name]],1)="C",
LEFT(Table5[[#This Row],[Coin Name]],1)="D"
), "Yes", "No")</f>
        <v>No</v>
      </c>
    </row>
    <row r="116" spans="1:3" x14ac:dyDescent="0.3">
      <c r="A116" s="18" t="s">
        <v>745</v>
      </c>
      <c r="B116" s="19">
        <v>19472</v>
      </c>
      <c r="C116" t="str">
        <f>IF(OR(
LEFT(Table5[[#This Row],[Coin Name]],1)="A",
LEFT(Table5[[#This Row],[Coin Name]],1)="E",
LEFT(Table5[[#This Row],[Coin Name]],1)="I",
LEFT(Table5[[#This Row],[Coin Name]],1)="O",
LEFT(Table5[[#This Row],[Coin Name]],1)="U",
LEFT(Table5[[#This Row],[Coin Name]],1)="B",
LEFT(Table5[[#This Row],[Coin Name]],1)="C",
LEFT(Table5[[#This Row],[Coin Name]],1)="D"
), "Yes", "No")</f>
        <v>No</v>
      </c>
    </row>
    <row r="117" spans="1:3" x14ac:dyDescent="0.3">
      <c r="A117" s="20" t="s">
        <v>752</v>
      </c>
      <c r="B117" s="21">
        <v>233918</v>
      </c>
      <c r="C117" t="str">
        <f>IF(OR(
LEFT(Table5[[#This Row],[Coin Name]],1)="A",
LEFT(Table5[[#This Row],[Coin Name]],1)="E",
LEFT(Table5[[#This Row],[Coin Name]],1)="I",
LEFT(Table5[[#This Row],[Coin Name]],1)="O",
LEFT(Table5[[#This Row],[Coin Name]],1)="U",
LEFT(Table5[[#This Row],[Coin Name]],1)="B",
LEFT(Table5[[#This Row],[Coin Name]],1)="C",
LEFT(Table5[[#This Row],[Coin Name]],1)="D"
), "Yes", "No")</f>
        <v>No</v>
      </c>
    </row>
    <row r="118" spans="1:3" x14ac:dyDescent="0.3">
      <c r="A118" s="18" t="s">
        <v>759</v>
      </c>
      <c r="B118" s="19">
        <v>105278</v>
      </c>
      <c r="C118" t="str">
        <f>IF(OR(
LEFT(Table5[[#This Row],[Coin Name]],1)="A",
LEFT(Table5[[#This Row],[Coin Name]],1)="E",
LEFT(Table5[[#This Row],[Coin Name]],1)="I",
LEFT(Table5[[#This Row],[Coin Name]],1)="O",
LEFT(Table5[[#This Row],[Coin Name]],1)="U",
LEFT(Table5[[#This Row],[Coin Name]],1)="B",
LEFT(Table5[[#This Row],[Coin Name]],1)="C",
LEFT(Table5[[#This Row],[Coin Name]],1)="D"
), "Yes", "No")</f>
        <v>No</v>
      </c>
    </row>
    <row r="119" spans="1:3" x14ac:dyDescent="0.3">
      <c r="A119" s="20" t="s">
        <v>765</v>
      </c>
      <c r="B119" s="21">
        <v>8599503</v>
      </c>
      <c r="C119" t="str">
        <f>IF(OR(
LEFT(Table5[[#This Row],[Coin Name]],1)="A",
LEFT(Table5[[#This Row],[Coin Name]],1)="E",
LEFT(Table5[[#This Row],[Coin Name]],1)="I",
LEFT(Table5[[#This Row],[Coin Name]],1)="O",
LEFT(Table5[[#This Row],[Coin Name]],1)="U",
LEFT(Table5[[#This Row],[Coin Name]],1)="B",
LEFT(Table5[[#This Row],[Coin Name]],1)="C",
LEFT(Table5[[#This Row],[Coin Name]],1)="D"
), "Yes", "No")</f>
        <v>Yes</v>
      </c>
    </row>
    <row r="120" spans="1:3" x14ac:dyDescent="0.3">
      <c r="A120" s="18" t="s">
        <v>771</v>
      </c>
      <c r="B120" s="19">
        <v>50214459</v>
      </c>
      <c r="C120" t="str">
        <f>IF(OR(
LEFT(Table5[[#This Row],[Coin Name]],1)="A",
LEFT(Table5[[#This Row],[Coin Name]],1)="E",
LEFT(Table5[[#This Row],[Coin Name]],1)="I",
LEFT(Table5[[#This Row],[Coin Name]],1)="O",
LEFT(Table5[[#This Row],[Coin Name]],1)="U",
LEFT(Table5[[#This Row],[Coin Name]],1)="B",
LEFT(Table5[[#This Row],[Coin Name]],1)="C",
LEFT(Table5[[#This Row],[Coin Name]],1)="D"
), "Yes", "No")</f>
        <v>No</v>
      </c>
    </row>
    <row r="121" spans="1:3" x14ac:dyDescent="0.3">
      <c r="A121" s="20" t="s">
        <v>777</v>
      </c>
      <c r="B121" s="21">
        <v>10</v>
      </c>
      <c r="C121" t="str">
        <f>IF(OR(
LEFT(Table5[[#This Row],[Coin Name]],1)="A",
LEFT(Table5[[#This Row],[Coin Name]],1)="E",
LEFT(Table5[[#This Row],[Coin Name]],1)="I",
LEFT(Table5[[#This Row],[Coin Name]],1)="O",
LEFT(Table5[[#This Row],[Coin Name]],1)="U",
LEFT(Table5[[#This Row],[Coin Name]],1)="B",
LEFT(Table5[[#This Row],[Coin Name]],1)="C",
LEFT(Table5[[#This Row],[Coin Name]],1)="D"
), "Yes", "No")</f>
        <v>Yes</v>
      </c>
    </row>
    <row r="122" spans="1:3" x14ac:dyDescent="0.3">
      <c r="A122" s="18" t="s">
        <v>783</v>
      </c>
      <c r="B122" s="19">
        <v>1784357</v>
      </c>
      <c r="C122" t="str">
        <f>IF(OR(
LEFT(Table5[[#This Row],[Coin Name]],1)="A",
LEFT(Table5[[#This Row],[Coin Name]],1)="E",
LEFT(Table5[[#This Row],[Coin Name]],1)="I",
LEFT(Table5[[#This Row],[Coin Name]],1)="O",
LEFT(Table5[[#This Row],[Coin Name]],1)="U",
LEFT(Table5[[#This Row],[Coin Name]],1)="B",
LEFT(Table5[[#This Row],[Coin Name]],1)="C",
LEFT(Table5[[#This Row],[Coin Name]],1)="D"
), "Yes", "No")</f>
        <v>No</v>
      </c>
    </row>
    <row r="123" spans="1:3" x14ac:dyDescent="0.3">
      <c r="A123" s="20" t="s">
        <v>789</v>
      </c>
      <c r="B123" s="21">
        <v>1018996</v>
      </c>
      <c r="C123" t="str">
        <f>IF(OR(
LEFT(Table5[[#This Row],[Coin Name]],1)="A",
LEFT(Table5[[#This Row],[Coin Name]],1)="E",
LEFT(Table5[[#This Row],[Coin Name]],1)="I",
LEFT(Table5[[#This Row],[Coin Name]],1)="O",
LEFT(Table5[[#This Row],[Coin Name]],1)="U",
LEFT(Table5[[#This Row],[Coin Name]],1)="B",
LEFT(Table5[[#This Row],[Coin Name]],1)="C",
LEFT(Table5[[#This Row],[Coin Name]],1)="D"
), "Yes", "No")</f>
        <v>No</v>
      </c>
    </row>
    <row r="124" spans="1:3" x14ac:dyDescent="0.3">
      <c r="A124" s="18" t="s">
        <v>796</v>
      </c>
      <c r="B124" s="19">
        <v>849245</v>
      </c>
      <c r="C124" t="str">
        <f>IF(OR(
LEFT(Table5[[#This Row],[Coin Name]],1)="A",
LEFT(Table5[[#This Row],[Coin Name]],1)="E",
LEFT(Table5[[#This Row],[Coin Name]],1)="I",
LEFT(Table5[[#This Row],[Coin Name]],1)="O",
LEFT(Table5[[#This Row],[Coin Name]],1)="U",
LEFT(Table5[[#This Row],[Coin Name]],1)="B",
LEFT(Table5[[#This Row],[Coin Name]],1)="C",
LEFT(Table5[[#This Row],[Coin Name]],1)="D"
), "Yes", "No")</f>
        <v>No</v>
      </c>
    </row>
    <row r="125" spans="1:3" x14ac:dyDescent="0.3">
      <c r="A125" s="20" t="s">
        <v>802</v>
      </c>
      <c r="B125" s="21">
        <v>31161</v>
      </c>
      <c r="C125" t="str">
        <f>IF(OR(
LEFT(Table5[[#This Row],[Coin Name]],1)="A",
LEFT(Table5[[#This Row],[Coin Name]],1)="E",
LEFT(Table5[[#This Row],[Coin Name]],1)="I",
LEFT(Table5[[#This Row],[Coin Name]],1)="O",
LEFT(Table5[[#This Row],[Coin Name]],1)="U",
LEFT(Table5[[#This Row],[Coin Name]],1)="B",
LEFT(Table5[[#This Row],[Coin Name]],1)="C",
LEFT(Table5[[#This Row],[Coin Name]],1)="D"
), "Yes", "No")</f>
        <v>Yes</v>
      </c>
    </row>
    <row r="126" spans="1:3" x14ac:dyDescent="0.3">
      <c r="A126" s="18" t="s">
        <v>808</v>
      </c>
      <c r="B126" s="19">
        <v>260752</v>
      </c>
      <c r="C126" t="str">
        <f>IF(OR(
LEFT(Table5[[#This Row],[Coin Name]],1)="A",
LEFT(Table5[[#This Row],[Coin Name]],1)="E",
LEFT(Table5[[#This Row],[Coin Name]],1)="I",
LEFT(Table5[[#This Row],[Coin Name]],1)="O",
LEFT(Table5[[#This Row],[Coin Name]],1)="U",
LEFT(Table5[[#This Row],[Coin Name]],1)="B",
LEFT(Table5[[#This Row],[Coin Name]],1)="C",
LEFT(Table5[[#This Row],[Coin Name]],1)="D"
), "Yes", "No")</f>
        <v>No</v>
      </c>
    </row>
    <row r="127" spans="1:3" x14ac:dyDescent="0.3">
      <c r="A127" s="20" t="s">
        <v>815</v>
      </c>
      <c r="B127" s="21">
        <v>7734230</v>
      </c>
      <c r="C127" t="str">
        <f>IF(OR(
LEFT(Table5[[#This Row],[Coin Name]],1)="A",
LEFT(Table5[[#This Row],[Coin Name]],1)="E",
LEFT(Table5[[#This Row],[Coin Name]],1)="I",
LEFT(Table5[[#This Row],[Coin Name]],1)="O",
LEFT(Table5[[#This Row],[Coin Name]],1)="U",
LEFT(Table5[[#This Row],[Coin Name]],1)="B",
LEFT(Table5[[#This Row],[Coin Name]],1)="C",
LEFT(Table5[[#This Row],[Coin Name]],1)="D"
), "Yes", "No")</f>
        <v>No</v>
      </c>
    </row>
    <row r="128" spans="1:3" x14ac:dyDescent="0.3">
      <c r="A128" s="18" t="s">
        <v>821</v>
      </c>
      <c r="B128" s="19">
        <v>229548</v>
      </c>
      <c r="C128" t="str">
        <f>IF(OR(
LEFT(Table5[[#This Row],[Coin Name]],1)="A",
LEFT(Table5[[#This Row],[Coin Name]],1)="E",
LEFT(Table5[[#This Row],[Coin Name]],1)="I",
LEFT(Table5[[#This Row],[Coin Name]],1)="O",
LEFT(Table5[[#This Row],[Coin Name]],1)="U",
LEFT(Table5[[#This Row],[Coin Name]],1)="B",
LEFT(Table5[[#This Row],[Coin Name]],1)="C",
LEFT(Table5[[#This Row],[Coin Name]],1)="D"
), "Yes", "No")</f>
        <v>No</v>
      </c>
    </row>
    <row r="129" spans="1:3" x14ac:dyDescent="0.3">
      <c r="A129" s="20" t="s">
        <v>827</v>
      </c>
      <c r="B129" s="21">
        <v>65907</v>
      </c>
      <c r="C129" t="str">
        <f>IF(OR(
LEFT(Table5[[#This Row],[Coin Name]],1)="A",
LEFT(Table5[[#This Row],[Coin Name]],1)="E",
LEFT(Table5[[#This Row],[Coin Name]],1)="I",
LEFT(Table5[[#This Row],[Coin Name]],1)="O",
LEFT(Table5[[#This Row],[Coin Name]],1)="U",
LEFT(Table5[[#This Row],[Coin Name]],1)="B",
LEFT(Table5[[#This Row],[Coin Name]],1)="C",
LEFT(Table5[[#This Row],[Coin Name]],1)="D"
), "Yes", "No")</f>
        <v>No</v>
      </c>
    </row>
    <row r="130" spans="1:3" x14ac:dyDescent="0.3">
      <c r="A130" s="18" t="s">
        <v>842</v>
      </c>
      <c r="B130" s="19">
        <v>146941</v>
      </c>
      <c r="C130" t="str">
        <f>IF(OR(
LEFT(Table5[[#This Row],[Coin Name]],1)="A",
LEFT(Table5[[#This Row],[Coin Name]],1)="E",
LEFT(Table5[[#This Row],[Coin Name]],1)="I",
LEFT(Table5[[#This Row],[Coin Name]],1)="O",
LEFT(Table5[[#This Row],[Coin Name]],1)="U",
LEFT(Table5[[#This Row],[Coin Name]],1)="B",
LEFT(Table5[[#This Row],[Coin Name]],1)="C",
LEFT(Table5[[#This Row],[Coin Name]],1)="D"
), "Yes", "No")</f>
        <v>No</v>
      </c>
    </row>
    <row r="131" spans="1:3" x14ac:dyDescent="0.3">
      <c r="A131" s="20" t="s">
        <v>848</v>
      </c>
      <c r="B131" s="21">
        <v>6780</v>
      </c>
      <c r="C131" t="str">
        <f>IF(OR(
LEFT(Table5[[#This Row],[Coin Name]],1)="A",
LEFT(Table5[[#This Row],[Coin Name]],1)="E",
LEFT(Table5[[#This Row],[Coin Name]],1)="I",
LEFT(Table5[[#This Row],[Coin Name]],1)="O",
LEFT(Table5[[#This Row],[Coin Name]],1)="U",
LEFT(Table5[[#This Row],[Coin Name]],1)="B",
LEFT(Table5[[#This Row],[Coin Name]],1)="C",
LEFT(Table5[[#This Row],[Coin Name]],1)="D"
), "Yes", "No")</f>
        <v>No</v>
      </c>
    </row>
    <row r="132" spans="1:3" x14ac:dyDescent="0.3">
      <c r="A132" s="18" t="s">
        <v>859</v>
      </c>
      <c r="B132" s="19">
        <v>425962</v>
      </c>
      <c r="C132" t="str">
        <f>IF(OR(
LEFT(Table5[[#This Row],[Coin Name]],1)="A",
LEFT(Table5[[#This Row],[Coin Name]],1)="E",
LEFT(Table5[[#This Row],[Coin Name]],1)="I",
LEFT(Table5[[#This Row],[Coin Name]],1)="O",
LEFT(Table5[[#This Row],[Coin Name]],1)="U",
LEFT(Table5[[#This Row],[Coin Name]],1)="B",
LEFT(Table5[[#This Row],[Coin Name]],1)="C",
LEFT(Table5[[#This Row],[Coin Name]],1)="D"
), "Yes", "No")</f>
        <v>No</v>
      </c>
    </row>
    <row r="133" spans="1:3" x14ac:dyDescent="0.3">
      <c r="A133" s="20" t="s">
        <v>866</v>
      </c>
      <c r="B133" s="21">
        <v>87808</v>
      </c>
      <c r="C133" t="str">
        <f>IF(OR(
LEFT(Table5[[#This Row],[Coin Name]],1)="A",
LEFT(Table5[[#This Row],[Coin Name]],1)="E",
LEFT(Table5[[#This Row],[Coin Name]],1)="I",
LEFT(Table5[[#This Row],[Coin Name]],1)="O",
LEFT(Table5[[#This Row],[Coin Name]],1)="U",
LEFT(Table5[[#This Row],[Coin Name]],1)="B",
LEFT(Table5[[#This Row],[Coin Name]],1)="C",
LEFT(Table5[[#This Row],[Coin Name]],1)="D"
), "Yes", "No")</f>
        <v>No</v>
      </c>
    </row>
    <row r="134" spans="1:3" x14ac:dyDescent="0.3">
      <c r="A134" s="18" t="s">
        <v>872</v>
      </c>
      <c r="B134" s="19">
        <v>187469</v>
      </c>
      <c r="C134" t="str">
        <f>IF(OR(
LEFT(Table5[[#This Row],[Coin Name]],1)="A",
LEFT(Table5[[#This Row],[Coin Name]],1)="E",
LEFT(Table5[[#This Row],[Coin Name]],1)="I",
LEFT(Table5[[#This Row],[Coin Name]],1)="O",
LEFT(Table5[[#This Row],[Coin Name]],1)="U",
LEFT(Table5[[#This Row],[Coin Name]],1)="B",
LEFT(Table5[[#This Row],[Coin Name]],1)="C",
LEFT(Table5[[#This Row],[Coin Name]],1)="D"
), "Yes", "No")</f>
        <v>Yes</v>
      </c>
    </row>
    <row r="135" spans="1:3" x14ac:dyDescent="0.3">
      <c r="A135" s="20" t="s">
        <v>878</v>
      </c>
      <c r="B135" s="21">
        <v>340331</v>
      </c>
      <c r="C135" t="str">
        <f>IF(OR(
LEFT(Table5[[#This Row],[Coin Name]],1)="A",
LEFT(Table5[[#This Row],[Coin Name]],1)="E",
LEFT(Table5[[#This Row],[Coin Name]],1)="I",
LEFT(Table5[[#This Row],[Coin Name]],1)="O",
LEFT(Table5[[#This Row],[Coin Name]],1)="U",
LEFT(Table5[[#This Row],[Coin Name]],1)="B",
LEFT(Table5[[#This Row],[Coin Name]],1)="C",
LEFT(Table5[[#This Row],[Coin Name]],1)="D"
), "Yes", "No")</f>
        <v>Yes</v>
      </c>
    </row>
    <row r="136" spans="1:3" x14ac:dyDescent="0.3">
      <c r="A136" s="18" t="s">
        <v>884</v>
      </c>
      <c r="B136" s="19">
        <v>321408</v>
      </c>
      <c r="C136" t="str">
        <f>IF(OR(
LEFT(Table5[[#This Row],[Coin Name]],1)="A",
LEFT(Table5[[#This Row],[Coin Name]],1)="E",
LEFT(Table5[[#This Row],[Coin Name]],1)="I",
LEFT(Table5[[#This Row],[Coin Name]],1)="O",
LEFT(Table5[[#This Row],[Coin Name]],1)="U",
LEFT(Table5[[#This Row],[Coin Name]],1)="B",
LEFT(Table5[[#This Row],[Coin Name]],1)="C",
LEFT(Table5[[#This Row],[Coin Name]],1)="D"
), "Yes", "No")</f>
        <v>No</v>
      </c>
    </row>
    <row r="137" spans="1:3" x14ac:dyDescent="0.3">
      <c r="A137" s="20" t="s">
        <v>890</v>
      </c>
      <c r="B137" s="21">
        <v>4164781</v>
      </c>
      <c r="C137" t="str">
        <f>IF(OR(
LEFT(Table5[[#This Row],[Coin Name]],1)="A",
LEFT(Table5[[#This Row],[Coin Name]],1)="E",
LEFT(Table5[[#This Row],[Coin Name]],1)="I",
LEFT(Table5[[#This Row],[Coin Name]],1)="O",
LEFT(Table5[[#This Row],[Coin Name]],1)="U",
LEFT(Table5[[#This Row],[Coin Name]],1)="B",
LEFT(Table5[[#This Row],[Coin Name]],1)="C",
LEFT(Table5[[#This Row],[Coin Name]],1)="D"
), "Yes", "No")</f>
        <v>No</v>
      </c>
    </row>
    <row r="138" spans="1:3" x14ac:dyDescent="0.3">
      <c r="A138" s="18" t="s">
        <v>896</v>
      </c>
      <c r="B138" s="19">
        <v>3754649</v>
      </c>
      <c r="C138" t="str">
        <f>IF(OR(
LEFT(Table5[[#This Row],[Coin Name]],1)="A",
LEFT(Table5[[#This Row],[Coin Name]],1)="E",
LEFT(Table5[[#This Row],[Coin Name]],1)="I",
LEFT(Table5[[#This Row],[Coin Name]],1)="O",
LEFT(Table5[[#This Row],[Coin Name]],1)="U",
LEFT(Table5[[#This Row],[Coin Name]],1)="B",
LEFT(Table5[[#This Row],[Coin Name]],1)="C",
LEFT(Table5[[#This Row],[Coin Name]],1)="D"
), "Yes", "No")</f>
        <v>No</v>
      </c>
    </row>
    <row r="139" spans="1:3" x14ac:dyDescent="0.3">
      <c r="A139" s="20" t="s">
        <v>902</v>
      </c>
      <c r="B139" s="21">
        <v>59834</v>
      </c>
      <c r="C139" t="str">
        <f>IF(OR(
LEFT(Table5[[#This Row],[Coin Name]],1)="A",
LEFT(Table5[[#This Row],[Coin Name]],1)="E",
LEFT(Table5[[#This Row],[Coin Name]],1)="I",
LEFT(Table5[[#This Row],[Coin Name]],1)="O",
LEFT(Table5[[#This Row],[Coin Name]],1)="U",
LEFT(Table5[[#This Row],[Coin Name]],1)="B",
LEFT(Table5[[#This Row],[Coin Name]],1)="C",
LEFT(Table5[[#This Row],[Coin Name]],1)="D"
), "Yes", "No")</f>
        <v>Yes</v>
      </c>
    </row>
    <row r="140" spans="1:3" x14ac:dyDescent="0.3">
      <c r="A140" s="18" t="s">
        <v>908</v>
      </c>
      <c r="B140" s="19">
        <v>30255</v>
      </c>
      <c r="C140" t="str">
        <f>IF(OR(
LEFT(Table5[[#This Row],[Coin Name]],1)="A",
LEFT(Table5[[#This Row],[Coin Name]],1)="E",
LEFT(Table5[[#This Row],[Coin Name]],1)="I",
LEFT(Table5[[#This Row],[Coin Name]],1)="O",
LEFT(Table5[[#This Row],[Coin Name]],1)="U",
LEFT(Table5[[#This Row],[Coin Name]],1)="B",
LEFT(Table5[[#This Row],[Coin Name]],1)="C",
LEFT(Table5[[#This Row],[Coin Name]],1)="D"
), "Yes", "No")</f>
        <v>No</v>
      </c>
    </row>
    <row r="141" spans="1:3" x14ac:dyDescent="0.3">
      <c r="A141" s="20" t="s">
        <v>915</v>
      </c>
      <c r="B141" s="21">
        <v>1013267</v>
      </c>
      <c r="C141" t="str">
        <f>IF(OR(
LEFT(Table5[[#This Row],[Coin Name]],1)="A",
LEFT(Table5[[#This Row],[Coin Name]],1)="E",
LEFT(Table5[[#This Row],[Coin Name]],1)="I",
LEFT(Table5[[#This Row],[Coin Name]],1)="O",
LEFT(Table5[[#This Row],[Coin Name]],1)="U",
LEFT(Table5[[#This Row],[Coin Name]],1)="B",
LEFT(Table5[[#This Row],[Coin Name]],1)="C",
LEFT(Table5[[#This Row],[Coin Name]],1)="D"
), "Yes", "No")</f>
        <v>No</v>
      </c>
    </row>
    <row r="142" spans="1:3" x14ac:dyDescent="0.3">
      <c r="A142" s="18" t="s">
        <v>921</v>
      </c>
      <c r="B142" s="19">
        <v>846710</v>
      </c>
      <c r="C142" t="str">
        <f>IF(OR(
LEFT(Table5[[#This Row],[Coin Name]],1)="A",
LEFT(Table5[[#This Row],[Coin Name]],1)="E",
LEFT(Table5[[#This Row],[Coin Name]],1)="I",
LEFT(Table5[[#This Row],[Coin Name]],1)="O",
LEFT(Table5[[#This Row],[Coin Name]],1)="U",
LEFT(Table5[[#This Row],[Coin Name]],1)="B",
LEFT(Table5[[#This Row],[Coin Name]],1)="C",
LEFT(Table5[[#This Row],[Coin Name]],1)="D"
), "Yes", "No")</f>
        <v>No</v>
      </c>
    </row>
    <row r="143" spans="1:3" x14ac:dyDescent="0.3">
      <c r="A143" s="20" t="s">
        <v>926</v>
      </c>
      <c r="B143" s="21">
        <v>27503</v>
      </c>
      <c r="C143" t="str">
        <f>IF(OR(
LEFT(Table5[[#This Row],[Coin Name]],1)="A",
LEFT(Table5[[#This Row],[Coin Name]],1)="E",
LEFT(Table5[[#This Row],[Coin Name]],1)="I",
LEFT(Table5[[#This Row],[Coin Name]],1)="O",
LEFT(Table5[[#This Row],[Coin Name]],1)="U",
LEFT(Table5[[#This Row],[Coin Name]],1)="B",
LEFT(Table5[[#This Row],[Coin Name]],1)="C",
LEFT(Table5[[#This Row],[Coin Name]],1)="D"
), "Yes", "No")</f>
        <v>No</v>
      </c>
    </row>
    <row r="144" spans="1:3" x14ac:dyDescent="0.3">
      <c r="A144" s="18" t="s">
        <v>932</v>
      </c>
      <c r="B144" s="19">
        <v>64548</v>
      </c>
      <c r="C144" t="str">
        <f>IF(OR(
LEFT(Table5[[#This Row],[Coin Name]],1)="A",
LEFT(Table5[[#This Row],[Coin Name]],1)="E",
LEFT(Table5[[#This Row],[Coin Name]],1)="I",
LEFT(Table5[[#This Row],[Coin Name]],1)="O",
LEFT(Table5[[#This Row],[Coin Name]],1)="U",
LEFT(Table5[[#This Row],[Coin Name]],1)="B",
LEFT(Table5[[#This Row],[Coin Name]],1)="C",
LEFT(Table5[[#This Row],[Coin Name]],1)="D"
), "Yes", "No")</f>
        <v>Yes</v>
      </c>
    </row>
    <row r="145" spans="1:3" x14ac:dyDescent="0.3">
      <c r="A145" s="20" t="s">
        <v>938</v>
      </c>
      <c r="B145" s="21">
        <v>2582102</v>
      </c>
      <c r="C145" t="str">
        <f>IF(OR(
LEFT(Table5[[#This Row],[Coin Name]],1)="A",
LEFT(Table5[[#This Row],[Coin Name]],1)="E",
LEFT(Table5[[#This Row],[Coin Name]],1)="I",
LEFT(Table5[[#This Row],[Coin Name]],1)="O",
LEFT(Table5[[#This Row],[Coin Name]],1)="U",
LEFT(Table5[[#This Row],[Coin Name]],1)="B",
LEFT(Table5[[#This Row],[Coin Name]],1)="C",
LEFT(Table5[[#This Row],[Coin Name]],1)="D"
), "Yes", "No")</f>
        <v>Yes</v>
      </c>
    </row>
    <row r="146" spans="1:3" x14ac:dyDescent="0.3">
      <c r="A146" s="18" t="s">
        <v>945</v>
      </c>
      <c r="B146" s="19">
        <v>289972</v>
      </c>
      <c r="C146" t="str">
        <f>IF(OR(
LEFT(Table5[[#This Row],[Coin Name]],1)="A",
LEFT(Table5[[#This Row],[Coin Name]],1)="E",
LEFT(Table5[[#This Row],[Coin Name]],1)="I",
LEFT(Table5[[#This Row],[Coin Name]],1)="O",
LEFT(Table5[[#This Row],[Coin Name]],1)="U",
LEFT(Table5[[#This Row],[Coin Name]],1)="B",
LEFT(Table5[[#This Row],[Coin Name]],1)="C",
LEFT(Table5[[#This Row],[Coin Name]],1)="D"
), "Yes", "No")</f>
        <v>Yes</v>
      </c>
    </row>
    <row r="147" spans="1:3" x14ac:dyDescent="0.3">
      <c r="A147" s="20" t="s">
        <v>951</v>
      </c>
      <c r="B147" s="21">
        <v>369327</v>
      </c>
      <c r="C147" t="str">
        <f>IF(OR(
LEFT(Table5[[#This Row],[Coin Name]],1)="A",
LEFT(Table5[[#This Row],[Coin Name]],1)="E",
LEFT(Table5[[#This Row],[Coin Name]],1)="I",
LEFT(Table5[[#This Row],[Coin Name]],1)="O",
LEFT(Table5[[#This Row],[Coin Name]],1)="U",
LEFT(Table5[[#This Row],[Coin Name]],1)="B",
LEFT(Table5[[#This Row],[Coin Name]],1)="C",
LEFT(Table5[[#This Row],[Coin Name]],1)="D"
), "Yes", "No")</f>
        <v>No</v>
      </c>
    </row>
    <row r="148" spans="1:3" x14ac:dyDescent="0.3">
      <c r="A148" s="18" t="s">
        <v>968</v>
      </c>
      <c r="B148" s="19">
        <v>10230683</v>
      </c>
      <c r="C148" t="str">
        <f>IF(OR(
LEFT(Table5[[#This Row],[Coin Name]],1)="A",
LEFT(Table5[[#This Row],[Coin Name]],1)="E",
LEFT(Table5[[#This Row],[Coin Name]],1)="I",
LEFT(Table5[[#This Row],[Coin Name]],1)="O",
LEFT(Table5[[#This Row],[Coin Name]],1)="U",
LEFT(Table5[[#This Row],[Coin Name]],1)="B",
LEFT(Table5[[#This Row],[Coin Name]],1)="C",
LEFT(Table5[[#This Row],[Coin Name]],1)="D"
), "Yes", "No")</f>
        <v>No</v>
      </c>
    </row>
    <row r="149" spans="1:3" x14ac:dyDescent="0.3">
      <c r="A149" s="20" t="s">
        <v>975</v>
      </c>
      <c r="B149" s="21">
        <v>96917</v>
      </c>
      <c r="C149" t="str">
        <f>IF(OR(
LEFT(Table5[[#This Row],[Coin Name]],1)="A",
LEFT(Table5[[#This Row],[Coin Name]],1)="E",
LEFT(Table5[[#This Row],[Coin Name]],1)="I",
LEFT(Table5[[#This Row],[Coin Name]],1)="O",
LEFT(Table5[[#This Row],[Coin Name]],1)="U",
LEFT(Table5[[#This Row],[Coin Name]],1)="B",
LEFT(Table5[[#This Row],[Coin Name]],1)="C",
LEFT(Table5[[#This Row],[Coin Name]],1)="D"
), "Yes", "No")</f>
        <v>Yes</v>
      </c>
    </row>
    <row r="150" spans="1:3" x14ac:dyDescent="0.3">
      <c r="A150" s="18" t="s">
        <v>981</v>
      </c>
      <c r="B150" s="19">
        <v>8766</v>
      </c>
      <c r="C150" t="str">
        <f>IF(OR(
LEFT(Table5[[#This Row],[Coin Name]],1)="A",
LEFT(Table5[[#This Row],[Coin Name]],1)="E",
LEFT(Table5[[#This Row],[Coin Name]],1)="I",
LEFT(Table5[[#This Row],[Coin Name]],1)="O",
LEFT(Table5[[#This Row],[Coin Name]],1)="U",
LEFT(Table5[[#This Row],[Coin Name]],1)="B",
LEFT(Table5[[#This Row],[Coin Name]],1)="C",
LEFT(Table5[[#This Row],[Coin Name]],1)="D"
), "Yes", "No")</f>
        <v>No</v>
      </c>
    </row>
    <row r="151" spans="1:3" x14ac:dyDescent="0.3">
      <c r="A151" s="20" t="s">
        <v>991</v>
      </c>
      <c r="B151" s="21">
        <v>106213</v>
      </c>
      <c r="C151" t="str">
        <f>IF(OR(
LEFT(Table5[[#This Row],[Coin Name]],1)="A",
LEFT(Table5[[#This Row],[Coin Name]],1)="E",
LEFT(Table5[[#This Row],[Coin Name]],1)="I",
LEFT(Table5[[#This Row],[Coin Name]],1)="O",
LEFT(Table5[[#This Row],[Coin Name]],1)="U",
LEFT(Table5[[#This Row],[Coin Name]],1)="B",
LEFT(Table5[[#This Row],[Coin Name]],1)="C",
LEFT(Table5[[#This Row],[Coin Name]],1)="D"
), "Yes", "No")</f>
        <v>No</v>
      </c>
    </row>
    <row r="152" spans="1:3" x14ac:dyDescent="0.3">
      <c r="A152" s="18" t="s">
        <v>998</v>
      </c>
      <c r="B152" s="19">
        <v>847</v>
      </c>
      <c r="C152" t="str">
        <f>IF(OR(
LEFT(Table5[[#This Row],[Coin Name]],1)="A",
LEFT(Table5[[#This Row],[Coin Name]],1)="E",
LEFT(Table5[[#This Row],[Coin Name]],1)="I",
LEFT(Table5[[#This Row],[Coin Name]],1)="O",
LEFT(Table5[[#This Row],[Coin Name]],1)="U",
LEFT(Table5[[#This Row],[Coin Name]],1)="B",
LEFT(Table5[[#This Row],[Coin Name]],1)="C",
LEFT(Table5[[#This Row],[Coin Name]],1)="D"
), "Yes", "No")</f>
        <v>No</v>
      </c>
    </row>
    <row r="153" spans="1:3" x14ac:dyDescent="0.3">
      <c r="A153" s="20" t="s">
        <v>1004</v>
      </c>
      <c r="B153" s="21">
        <v>355240</v>
      </c>
      <c r="C153" t="str">
        <f>IF(OR(
LEFT(Table5[[#This Row],[Coin Name]],1)="A",
LEFT(Table5[[#This Row],[Coin Name]],1)="E",
LEFT(Table5[[#This Row],[Coin Name]],1)="I",
LEFT(Table5[[#This Row],[Coin Name]],1)="O",
LEFT(Table5[[#This Row],[Coin Name]],1)="U",
LEFT(Table5[[#This Row],[Coin Name]],1)="B",
LEFT(Table5[[#This Row],[Coin Name]],1)="C",
LEFT(Table5[[#This Row],[Coin Name]],1)="D"
), "Yes", "No")</f>
        <v>No</v>
      </c>
    </row>
    <row r="154" spans="1:3" x14ac:dyDescent="0.3">
      <c r="A154" s="18" t="s">
        <v>1015</v>
      </c>
      <c r="B154" s="19">
        <v>331094</v>
      </c>
      <c r="C154" t="str">
        <f>IF(OR(
LEFT(Table5[[#This Row],[Coin Name]],1)="A",
LEFT(Table5[[#This Row],[Coin Name]],1)="E",
LEFT(Table5[[#This Row],[Coin Name]],1)="I",
LEFT(Table5[[#This Row],[Coin Name]],1)="O",
LEFT(Table5[[#This Row],[Coin Name]],1)="U",
LEFT(Table5[[#This Row],[Coin Name]],1)="B",
LEFT(Table5[[#This Row],[Coin Name]],1)="C",
LEFT(Table5[[#This Row],[Coin Name]],1)="D"
), "Yes", "No")</f>
        <v>No</v>
      </c>
    </row>
    <row r="155" spans="1:3" x14ac:dyDescent="0.3">
      <c r="A155" s="20" t="s">
        <v>1022</v>
      </c>
      <c r="B155" s="21">
        <v>18420</v>
      </c>
      <c r="C155" t="str">
        <f>IF(OR(
LEFT(Table5[[#This Row],[Coin Name]],1)="A",
LEFT(Table5[[#This Row],[Coin Name]],1)="E",
LEFT(Table5[[#This Row],[Coin Name]],1)="I",
LEFT(Table5[[#This Row],[Coin Name]],1)="O",
LEFT(Table5[[#This Row],[Coin Name]],1)="U",
LEFT(Table5[[#This Row],[Coin Name]],1)="B",
LEFT(Table5[[#This Row],[Coin Name]],1)="C",
LEFT(Table5[[#This Row],[Coin Name]],1)="D"
), "Yes", "No")</f>
        <v>No</v>
      </c>
    </row>
    <row r="156" spans="1:3" x14ac:dyDescent="0.3">
      <c r="A156" s="18" t="s">
        <v>1029</v>
      </c>
      <c r="B156" s="19">
        <v>1613699</v>
      </c>
      <c r="C156" t="str">
        <f>IF(OR(
LEFT(Table5[[#This Row],[Coin Name]],1)="A",
LEFT(Table5[[#This Row],[Coin Name]],1)="E",
LEFT(Table5[[#This Row],[Coin Name]],1)="I",
LEFT(Table5[[#This Row],[Coin Name]],1)="O",
LEFT(Table5[[#This Row],[Coin Name]],1)="U",
LEFT(Table5[[#This Row],[Coin Name]],1)="B",
LEFT(Table5[[#This Row],[Coin Name]],1)="C",
LEFT(Table5[[#This Row],[Coin Name]],1)="D"
), "Yes", "No")</f>
        <v>No</v>
      </c>
    </row>
    <row r="157" spans="1:3" x14ac:dyDescent="0.3">
      <c r="A157" s="20" t="s">
        <v>1035</v>
      </c>
      <c r="B157" s="21">
        <v>875780</v>
      </c>
      <c r="C157" t="str">
        <f>IF(OR(
LEFT(Table5[[#This Row],[Coin Name]],1)="A",
LEFT(Table5[[#This Row],[Coin Name]],1)="E",
LEFT(Table5[[#This Row],[Coin Name]],1)="I",
LEFT(Table5[[#This Row],[Coin Name]],1)="O",
LEFT(Table5[[#This Row],[Coin Name]],1)="U",
LEFT(Table5[[#This Row],[Coin Name]],1)="B",
LEFT(Table5[[#This Row],[Coin Name]],1)="C",
LEFT(Table5[[#This Row],[Coin Name]],1)="D"
), "Yes", "No")</f>
        <v>Yes</v>
      </c>
    </row>
    <row r="158" spans="1:3" x14ac:dyDescent="0.3">
      <c r="A158" s="18" t="s">
        <v>1041</v>
      </c>
      <c r="B158" s="19">
        <v>2394175</v>
      </c>
      <c r="C158" t="str">
        <f>IF(OR(
LEFT(Table5[[#This Row],[Coin Name]],1)="A",
LEFT(Table5[[#This Row],[Coin Name]],1)="E",
LEFT(Table5[[#This Row],[Coin Name]],1)="I",
LEFT(Table5[[#This Row],[Coin Name]],1)="O",
LEFT(Table5[[#This Row],[Coin Name]],1)="U",
LEFT(Table5[[#This Row],[Coin Name]],1)="B",
LEFT(Table5[[#This Row],[Coin Name]],1)="C",
LEFT(Table5[[#This Row],[Coin Name]],1)="D"
), "Yes", "No")</f>
        <v>Yes</v>
      </c>
    </row>
    <row r="159" spans="1:3" x14ac:dyDescent="0.3">
      <c r="A159" s="20" t="s">
        <v>1048</v>
      </c>
      <c r="B159" s="21">
        <v>95553</v>
      </c>
      <c r="C159" t="str">
        <f>IF(OR(
LEFT(Table5[[#This Row],[Coin Name]],1)="A",
LEFT(Table5[[#This Row],[Coin Name]],1)="E",
LEFT(Table5[[#This Row],[Coin Name]],1)="I",
LEFT(Table5[[#This Row],[Coin Name]],1)="O",
LEFT(Table5[[#This Row],[Coin Name]],1)="U",
LEFT(Table5[[#This Row],[Coin Name]],1)="B",
LEFT(Table5[[#This Row],[Coin Name]],1)="C",
LEFT(Table5[[#This Row],[Coin Name]],1)="D"
), "Yes", "No")</f>
        <v>Yes</v>
      </c>
    </row>
    <row r="160" spans="1:3" x14ac:dyDescent="0.3">
      <c r="A160" s="18" t="s">
        <v>1054</v>
      </c>
      <c r="B160" s="19">
        <v>1991360</v>
      </c>
      <c r="C160" t="str">
        <f>IF(OR(
LEFT(Table5[[#This Row],[Coin Name]],1)="A",
LEFT(Table5[[#This Row],[Coin Name]],1)="E",
LEFT(Table5[[#This Row],[Coin Name]],1)="I",
LEFT(Table5[[#This Row],[Coin Name]],1)="O",
LEFT(Table5[[#This Row],[Coin Name]],1)="U",
LEFT(Table5[[#This Row],[Coin Name]],1)="B",
LEFT(Table5[[#This Row],[Coin Name]],1)="C",
LEFT(Table5[[#This Row],[Coin Name]],1)="D"
), "Yes", "No")</f>
        <v>No</v>
      </c>
    </row>
    <row r="161" spans="1:3" x14ac:dyDescent="0.3">
      <c r="A161" s="20" t="s">
        <v>1061</v>
      </c>
      <c r="B161" s="21">
        <v>19915</v>
      </c>
      <c r="C161" t="str">
        <f>IF(OR(
LEFT(Table5[[#This Row],[Coin Name]],1)="A",
LEFT(Table5[[#This Row],[Coin Name]],1)="E",
LEFT(Table5[[#This Row],[Coin Name]],1)="I",
LEFT(Table5[[#This Row],[Coin Name]],1)="O",
LEFT(Table5[[#This Row],[Coin Name]],1)="U",
LEFT(Table5[[#This Row],[Coin Name]],1)="B",
LEFT(Table5[[#This Row],[Coin Name]],1)="C",
LEFT(Table5[[#This Row],[Coin Name]],1)="D"
), "Yes", "No")</f>
        <v>No</v>
      </c>
    </row>
    <row r="162" spans="1:3" x14ac:dyDescent="0.3">
      <c r="A162" s="18" t="s">
        <v>1067</v>
      </c>
      <c r="B162" s="19">
        <v>123380</v>
      </c>
      <c r="C162" t="str">
        <f>IF(OR(
LEFT(Table5[[#This Row],[Coin Name]],1)="A",
LEFT(Table5[[#This Row],[Coin Name]],1)="E",
LEFT(Table5[[#This Row],[Coin Name]],1)="I",
LEFT(Table5[[#This Row],[Coin Name]],1)="O",
LEFT(Table5[[#This Row],[Coin Name]],1)="U",
LEFT(Table5[[#This Row],[Coin Name]],1)="B",
LEFT(Table5[[#This Row],[Coin Name]],1)="C",
LEFT(Table5[[#This Row],[Coin Name]],1)="D"
), "Yes", "No")</f>
        <v>No</v>
      </c>
    </row>
    <row r="163" spans="1:3" x14ac:dyDescent="0.3">
      <c r="A163" s="20" t="s">
        <v>1074</v>
      </c>
      <c r="B163" s="21">
        <v>492884</v>
      </c>
      <c r="C163" t="str">
        <f>IF(OR(
LEFT(Table5[[#This Row],[Coin Name]],1)="A",
LEFT(Table5[[#This Row],[Coin Name]],1)="E",
LEFT(Table5[[#This Row],[Coin Name]],1)="I",
LEFT(Table5[[#This Row],[Coin Name]],1)="O",
LEFT(Table5[[#This Row],[Coin Name]],1)="U",
LEFT(Table5[[#This Row],[Coin Name]],1)="B",
LEFT(Table5[[#This Row],[Coin Name]],1)="C",
LEFT(Table5[[#This Row],[Coin Name]],1)="D"
), "Yes", "No")</f>
        <v>No</v>
      </c>
    </row>
    <row r="164" spans="1:3" x14ac:dyDescent="0.3">
      <c r="A164" s="18" t="s">
        <v>1081</v>
      </c>
      <c r="B164" s="19">
        <v>78498</v>
      </c>
      <c r="C164" t="str">
        <f>IF(OR(
LEFT(Table5[[#This Row],[Coin Name]],1)="A",
LEFT(Table5[[#This Row],[Coin Name]],1)="E",
LEFT(Table5[[#This Row],[Coin Name]],1)="I",
LEFT(Table5[[#This Row],[Coin Name]],1)="O",
LEFT(Table5[[#This Row],[Coin Name]],1)="U",
LEFT(Table5[[#This Row],[Coin Name]],1)="B",
LEFT(Table5[[#This Row],[Coin Name]],1)="C",
LEFT(Table5[[#This Row],[Coin Name]],1)="D"
), "Yes", "No")</f>
        <v>No</v>
      </c>
    </row>
    <row r="165" spans="1:3" x14ac:dyDescent="0.3">
      <c r="A165" s="20" t="s">
        <v>1091</v>
      </c>
      <c r="B165" s="21">
        <v>248901</v>
      </c>
      <c r="C165" t="str">
        <f>IF(OR(
LEFT(Table5[[#This Row],[Coin Name]],1)="A",
LEFT(Table5[[#This Row],[Coin Name]],1)="E",
LEFT(Table5[[#This Row],[Coin Name]],1)="I",
LEFT(Table5[[#This Row],[Coin Name]],1)="O",
LEFT(Table5[[#This Row],[Coin Name]],1)="U",
LEFT(Table5[[#This Row],[Coin Name]],1)="B",
LEFT(Table5[[#This Row],[Coin Name]],1)="C",
LEFT(Table5[[#This Row],[Coin Name]],1)="D"
), "Yes", "No")</f>
        <v>Yes</v>
      </c>
    </row>
    <row r="166" spans="1:3" x14ac:dyDescent="0.3">
      <c r="A166" s="18" t="s">
        <v>1097</v>
      </c>
      <c r="B166" s="19">
        <v>650212</v>
      </c>
      <c r="C166" t="str">
        <f>IF(OR(
LEFT(Table5[[#This Row],[Coin Name]],1)="A",
LEFT(Table5[[#This Row],[Coin Name]],1)="E",
LEFT(Table5[[#This Row],[Coin Name]],1)="I",
LEFT(Table5[[#This Row],[Coin Name]],1)="O",
LEFT(Table5[[#This Row],[Coin Name]],1)="U",
LEFT(Table5[[#This Row],[Coin Name]],1)="B",
LEFT(Table5[[#This Row],[Coin Name]],1)="C",
LEFT(Table5[[#This Row],[Coin Name]],1)="D"
), "Yes", "No")</f>
        <v>No</v>
      </c>
    </row>
    <row r="167" spans="1:3" x14ac:dyDescent="0.3">
      <c r="A167" s="20" t="s">
        <v>1104</v>
      </c>
      <c r="B167" s="21">
        <v>225992</v>
      </c>
      <c r="C167" t="str">
        <f>IF(OR(
LEFT(Table5[[#This Row],[Coin Name]],1)="A",
LEFT(Table5[[#This Row],[Coin Name]],1)="E",
LEFT(Table5[[#This Row],[Coin Name]],1)="I",
LEFT(Table5[[#This Row],[Coin Name]],1)="O",
LEFT(Table5[[#This Row],[Coin Name]],1)="U",
LEFT(Table5[[#This Row],[Coin Name]],1)="B",
LEFT(Table5[[#This Row],[Coin Name]],1)="C",
LEFT(Table5[[#This Row],[Coin Name]],1)="D"
), "Yes", "No")</f>
        <v>Yes</v>
      </c>
    </row>
    <row r="168" spans="1:3" x14ac:dyDescent="0.3">
      <c r="A168" s="18" t="s">
        <v>1110</v>
      </c>
      <c r="B168" s="19">
        <v>9317</v>
      </c>
      <c r="C168" t="str">
        <f>IF(OR(
LEFT(Table5[[#This Row],[Coin Name]],1)="A",
LEFT(Table5[[#This Row],[Coin Name]],1)="E",
LEFT(Table5[[#This Row],[Coin Name]],1)="I",
LEFT(Table5[[#This Row],[Coin Name]],1)="O",
LEFT(Table5[[#This Row],[Coin Name]],1)="U",
LEFT(Table5[[#This Row],[Coin Name]],1)="B",
LEFT(Table5[[#This Row],[Coin Name]],1)="C",
LEFT(Table5[[#This Row],[Coin Name]],1)="D"
), "Yes", "No")</f>
        <v>Yes</v>
      </c>
    </row>
    <row r="169" spans="1:3" x14ac:dyDescent="0.3">
      <c r="A169" s="20" t="s">
        <v>1116</v>
      </c>
      <c r="B169" s="21">
        <v>93501</v>
      </c>
      <c r="C169" t="str">
        <f>IF(OR(
LEFT(Table5[[#This Row],[Coin Name]],1)="A",
LEFT(Table5[[#This Row],[Coin Name]],1)="E",
LEFT(Table5[[#This Row],[Coin Name]],1)="I",
LEFT(Table5[[#This Row],[Coin Name]],1)="O",
LEFT(Table5[[#This Row],[Coin Name]],1)="U",
LEFT(Table5[[#This Row],[Coin Name]],1)="B",
LEFT(Table5[[#This Row],[Coin Name]],1)="C",
LEFT(Table5[[#This Row],[Coin Name]],1)="D"
), "Yes", "No")</f>
        <v>No</v>
      </c>
    </row>
    <row r="170" spans="1:3" x14ac:dyDescent="0.3">
      <c r="A170" s="18" t="s">
        <v>1123</v>
      </c>
      <c r="B170" s="19">
        <v>86410</v>
      </c>
      <c r="C170" t="str">
        <f>IF(OR(
LEFT(Table5[[#This Row],[Coin Name]],1)="A",
LEFT(Table5[[#This Row],[Coin Name]],1)="E",
LEFT(Table5[[#This Row],[Coin Name]],1)="I",
LEFT(Table5[[#This Row],[Coin Name]],1)="O",
LEFT(Table5[[#This Row],[Coin Name]],1)="U",
LEFT(Table5[[#This Row],[Coin Name]],1)="B",
LEFT(Table5[[#This Row],[Coin Name]],1)="C",
LEFT(Table5[[#This Row],[Coin Name]],1)="D"
), "Yes", "No")</f>
        <v>Yes</v>
      </c>
    </row>
    <row r="171" spans="1:3" x14ac:dyDescent="0.3">
      <c r="A171" s="20" t="s">
        <v>1129</v>
      </c>
      <c r="B171" s="21">
        <v>475091</v>
      </c>
      <c r="C171" t="str">
        <f>IF(OR(
LEFT(Table5[[#This Row],[Coin Name]],1)="A",
LEFT(Table5[[#This Row],[Coin Name]],1)="E",
LEFT(Table5[[#This Row],[Coin Name]],1)="I",
LEFT(Table5[[#This Row],[Coin Name]],1)="O",
LEFT(Table5[[#This Row],[Coin Name]],1)="U",
LEFT(Table5[[#This Row],[Coin Name]],1)="B",
LEFT(Table5[[#This Row],[Coin Name]],1)="C",
LEFT(Table5[[#This Row],[Coin Name]],1)="D"
), "Yes", "No")</f>
        <v>Yes</v>
      </c>
    </row>
    <row r="172" spans="1:3" x14ac:dyDescent="0.3">
      <c r="A172" s="18" t="s">
        <v>1136</v>
      </c>
      <c r="B172" s="19">
        <v>537558</v>
      </c>
      <c r="C172" t="str">
        <f>IF(OR(
LEFT(Table5[[#This Row],[Coin Name]],1)="A",
LEFT(Table5[[#This Row],[Coin Name]],1)="E",
LEFT(Table5[[#This Row],[Coin Name]],1)="I",
LEFT(Table5[[#This Row],[Coin Name]],1)="O",
LEFT(Table5[[#This Row],[Coin Name]],1)="U",
LEFT(Table5[[#This Row],[Coin Name]],1)="B",
LEFT(Table5[[#This Row],[Coin Name]],1)="C",
LEFT(Table5[[#This Row],[Coin Name]],1)="D"
), "Yes", "No")</f>
        <v>No</v>
      </c>
    </row>
    <row r="173" spans="1:3" x14ac:dyDescent="0.3">
      <c r="A173" s="20" t="s">
        <v>1142</v>
      </c>
      <c r="B173" s="21">
        <v>181224</v>
      </c>
      <c r="C173" t="str">
        <f>IF(OR(
LEFT(Table5[[#This Row],[Coin Name]],1)="A",
LEFT(Table5[[#This Row],[Coin Name]],1)="E",
LEFT(Table5[[#This Row],[Coin Name]],1)="I",
LEFT(Table5[[#This Row],[Coin Name]],1)="O",
LEFT(Table5[[#This Row],[Coin Name]],1)="U",
LEFT(Table5[[#This Row],[Coin Name]],1)="B",
LEFT(Table5[[#This Row],[Coin Name]],1)="C",
LEFT(Table5[[#This Row],[Coin Name]],1)="D"
), "Yes", "No")</f>
        <v>No</v>
      </c>
    </row>
    <row r="174" spans="1:3" x14ac:dyDescent="0.3">
      <c r="A174" s="18" t="s">
        <v>1148</v>
      </c>
      <c r="B174" s="19">
        <v>55232</v>
      </c>
      <c r="C174" t="str">
        <f>IF(OR(
LEFT(Table5[[#This Row],[Coin Name]],1)="A",
LEFT(Table5[[#This Row],[Coin Name]],1)="E",
LEFT(Table5[[#This Row],[Coin Name]],1)="I",
LEFT(Table5[[#This Row],[Coin Name]],1)="O",
LEFT(Table5[[#This Row],[Coin Name]],1)="U",
LEFT(Table5[[#This Row],[Coin Name]],1)="B",
LEFT(Table5[[#This Row],[Coin Name]],1)="C",
LEFT(Table5[[#This Row],[Coin Name]],1)="D"
), "Yes", "No")</f>
        <v>Yes</v>
      </c>
    </row>
    <row r="175" spans="1:3" x14ac:dyDescent="0.3">
      <c r="A175" s="20" t="s">
        <v>1154</v>
      </c>
      <c r="B175" s="21">
        <v>238266</v>
      </c>
      <c r="C175" t="str">
        <f>IF(OR(
LEFT(Table5[[#This Row],[Coin Name]],1)="A",
LEFT(Table5[[#This Row],[Coin Name]],1)="E",
LEFT(Table5[[#This Row],[Coin Name]],1)="I",
LEFT(Table5[[#This Row],[Coin Name]],1)="O",
LEFT(Table5[[#This Row],[Coin Name]],1)="U",
LEFT(Table5[[#This Row],[Coin Name]],1)="B",
LEFT(Table5[[#This Row],[Coin Name]],1)="C",
LEFT(Table5[[#This Row],[Coin Name]],1)="D"
), "Yes", "No")</f>
        <v>No</v>
      </c>
    </row>
    <row r="176" spans="1:3" x14ac:dyDescent="0.3">
      <c r="A176" s="18" t="s">
        <v>1165</v>
      </c>
      <c r="B176" s="19">
        <v>49762</v>
      </c>
      <c r="C176" t="str">
        <f>IF(OR(
LEFT(Table5[[#This Row],[Coin Name]],1)="A",
LEFT(Table5[[#This Row],[Coin Name]],1)="E",
LEFT(Table5[[#This Row],[Coin Name]],1)="I",
LEFT(Table5[[#This Row],[Coin Name]],1)="O",
LEFT(Table5[[#This Row],[Coin Name]],1)="U",
LEFT(Table5[[#This Row],[Coin Name]],1)="B",
LEFT(Table5[[#This Row],[Coin Name]],1)="C",
LEFT(Table5[[#This Row],[Coin Name]],1)="D"
), "Yes", "No")</f>
        <v>No</v>
      </c>
    </row>
    <row r="177" spans="1:3" x14ac:dyDescent="0.3">
      <c r="A177" s="20" t="s">
        <v>1171</v>
      </c>
      <c r="B177" s="21">
        <v>1268</v>
      </c>
      <c r="C177" t="str">
        <f>IF(OR(
LEFT(Table5[[#This Row],[Coin Name]],1)="A",
LEFT(Table5[[#This Row],[Coin Name]],1)="E",
LEFT(Table5[[#This Row],[Coin Name]],1)="I",
LEFT(Table5[[#This Row],[Coin Name]],1)="O",
LEFT(Table5[[#This Row],[Coin Name]],1)="U",
LEFT(Table5[[#This Row],[Coin Name]],1)="B",
LEFT(Table5[[#This Row],[Coin Name]],1)="C",
LEFT(Table5[[#This Row],[Coin Name]],1)="D"
), "Yes", "No")</f>
        <v>No</v>
      </c>
    </row>
    <row r="178" spans="1:3" x14ac:dyDescent="0.3">
      <c r="A178" s="18" t="s">
        <v>1177</v>
      </c>
      <c r="B178" s="19">
        <v>3030</v>
      </c>
      <c r="C178" t="str">
        <f>IF(OR(
LEFT(Table5[[#This Row],[Coin Name]],1)="A",
LEFT(Table5[[#This Row],[Coin Name]],1)="E",
LEFT(Table5[[#This Row],[Coin Name]],1)="I",
LEFT(Table5[[#This Row],[Coin Name]],1)="O",
LEFT(Table5[[#This Row],[Coin Name]],1)="U",
LEFT(Table5[[#This Row],[Coin Name]],1)="B",
LEFT(Table5[[#This Row],[Coin Name]],1)="C",
LEFT(Table5[[#This Row],[Coin Name]],1)="D"
), "Yes", "No")</f>
        <v>No</v>
      </c>
    </row>
    <row r="179" spans="1:3" x14ac:dyDescent="0.3">
      <c r="A179" s="20" t="s">
        <v>1184</v>
      </c>
      <c r="B179" s="21">
        <v>69711</v>
      </c>
      <c r="C179" t="str">
        <f>IF(OR(
LEFT(Table5[[#This Row],[Coin Name]],1)="A",
LEFT(Table5[[#This Row],[Coin Name]],1)="E",
LEFT(Table5[[#This Row],[Coin Name]],1)="I",
LEFT(Table5[[#This Row],[Coin Name]],1)="O",
LEFT(Table5[[#This Row],[Coin Name]],1)="U",
LEFT(Table5[[#This Row],[Coin Name]],1)="B",
LEFT(Table5[[#This Row],[Coin Name]],1)="C",
LEFT(Table5[[#This Row],[Coin Name]],1)="D"
), "Yes", "No")</f>
        <v>Yes</v>
      </c>
    </row>
    <row r="180" spans="1:3" x14ac:dyDescent="0.3">
      <c r="A180" s="18" t="s">
        <v>1195</v>
      </c>
      <c r="B180" s="19">
        <v>90761</v>
      </c>
      <c r="C180" t="str">
        <f>IF(OR(
LEFT(Table5[[#This Row],[Coin Name]],1)="A",
LEFT(Table5[[#This Row],[Coin Name]],1)="E",
LEFT(Table5[[#This Row],[Coin Name]],1)="I",
LEFT(Table5[[#This Row],[Coin Name]],1)="O",
LEFT(Table5[[#This Row],[Coin Name]],1)="U",
LEFT(Table5[[#This Row],[Coin Name]],1)="B",
LEFT(Table5[[#This Row],[Coin Name]],1)="C",
LEFT(Table5[[#This Row],[Coin Name]],1)="D"
), "Yes", "No")</f>
        <v>No</v>
      </c>
    </row>
    <row r="181" spans="1:3" x14ac:dyDescent="0.3">
      <c r="A181" s="20" t="s">
        <v>1201</v>
      </c>
      <c r="B181" s="21">
        <v>403029</v>
      </c>
      <c r="C181" t="str">
        <f>IF(OR(
LEFT(Table5[[#This Row],[Coin Name]],1)="A",
LEFT(Table5[[#This Row],[Coin Name]],1)="E",
LEFT(Table5[[#This Row],[Coin Name]],1)="I",
LEFT(Table5[[#This Row],[Coin Name]],1)="O",
LEFT(Table5[[#This Row],[Coin Name]],1)="U",
LEFT(Table5[[#This Row],[Coin Name]],1)="B",
LEFT(Table5[[#This Row],[Coin Name]],1)="C",
LEFT(Table5[[#This Row],[Coin Name]],1)="D"
), "Yes", "No")</f>
        <v>No</v>
      </c>
    </row>
    <row r="182" spans="1:3" x14ac:dyDescent="0.3">
      <c r="A182" s="18" t="s">
        <v>1207</v>
      </c>
      <c r="B182" s="19">
        <v>637</v>
      </c>
      <c r="C182" t="str">
        <f>IF(OR(
LEFT(Table5[[#This Row],[Coin Name]],1)="A",
LEFT(Table5[[#This Row],[Coin Name]],1)="E",
LEFT(Table5[[#This Row],[Coin Name]],1)="I",
LEFT(Table5[[#This Row],[Coin Name]],1)="O",
LEFT(Table5[[#This Row],[Coin Name]],1)="U",
LEFT(Table5[[#This Row],[Coin Name]],1)="B",
LEFT(Table5[[#This Row],[Coin Name]],1)="C",
LEFT(Table5[[#This Row],[Coin Name]],1)="D"
), "Yes", "No")</f>
        <v>No</v>
      </c>
    </row>
    <row r="183" spans="1:3" x14ac:dyDescent="0.3">
      <c r="A183" s="20" t="s">
        <v>1213</v>
      </c>
      <c r="B183" s="21">
        <v>73794</v>
      </c>
      <c r="C183" t="str">
        <f>IF(OR(
LEFT(Table5[[#This Row],[Coin Name]],1)="A",
LEFT(Table5[[#This Row],[Coin Name]],1)="E",
LEFT(Table5[[#This Row],[Coin Name]],1)="I",
LEFT(Table5[[#This Row],[Coin Name]],1)="O",
LEFT(Table5[[#This Row],[Coin Name]],1)="U",
LEFT(Table5[[#This Row],[Coin Name]],1)="B",
LEFT(Table5[[#This Row],[Coin Name]],1)="C",
LEFT(Table5[[#This Row],[Coin Name]],1)="D"
), "Yes", "No")</f>
        <v>Yes</v>
      </c>
    </row>
    <row r="184" spans="1:3" x14ac:dyDescent="0.3">
      <c r="A184" s="18" t="s">
        <v>1219</v>
      </c>
      <c r="B184" s="19">
        <v>99738</v>
      </c>
      <c r="C184" t="str">
        <f>IF(OR(
LEFT(Table5[[#This Row],[Coin Name]],1)="A",
LEFT(Table5[[#This Row],[Coin Name]],1)="E",
LEFT(Table5[[#This Row],[Coin Name]],1)="I",
LEFT(Table5[[#This Row],[Coin Name]],1)="O",
LEFT(Table5[[#This Row],[Coin Name]],1)="U",
LEFT(Table5[[#This Row],[Coin Name]],1)="B",
LEFT(Table5[[#This Row],[Coin Name]],1)="C",
LEFT(Table5[[#This Row],[Coin Name]],1)="D"
), "Yes", "No")</f>
        <v>No</v>
      </c>
    </row>
    <row r="185" spans="1:3" x14ac:dyDescent="0.3">
      <c r="A185" s="20" t="s">
        <v>1225</v>
      </c>
      <c r="B185" s="21">
        <v>57798</v>
      </c>
      <c r="C185" t="str">
        <f>IF(OR(
LEFT(Table5[[#This Row],[Coin Name]],1)="A",
LEFT(Table5[[#This Row],[Coin Name]],1)="E",
LEFT(Table5[[#This Row],[Coin Name]],1)="I",
LEFT(Table5[[#This Row],[Coin Name]],1)="O",
LEFT(Table5[[#This Row],[Coin Name]],1)="U",
LEFT(Table5[[#This Row],[Coin Name]],1)="B",
LEFT(Table5[[#This Row],[Coin Name]],1)="C",
LEFT(Table5[[#This Row],[Coin Name]],1)="D"
), "Yes", "No")</f>
        <v>Yes</v>
      </c>
    </row>
    <row r="186" spans="1:3" x14ac:dyDescent="0.3">
      <c r="A186" s="18" t="s">
        <v>1231</v>
      </c>
      <c r="B186" s="19">
        <v>28022</v>
      </c>
      <c r="C186" t="str">
        <f>IF(OR(
LEFT(Table5[[#This Row],[Coin Name]],1)="A",
LEFT(Table5[[#This Row],[Coin Name]],1)="E",
LEFT(Table5[[#This Row],[Coin Name]],1)="I",
LEFT(Table5[[#This Row],[Coin Name]],1)="O",
LEFT(Table5[[#This Row],[Coin Name]],1)="U",
LEFT(Table5[[#This Row],[Coin Name]],1)="B",
LEFT(Table5[[#This Row],[Coin Name]],1)="C",
LEFT(Table5[[#This Row],[Coin Name]],1)="D"
), "Yes", "No")</f>
        <v>No</v>
      </c>
    </row>
    <row r="187" spans="1:3" x14ac:dyDescent="0.3">
      <c r="A187" s="20" t="s">
        <v>1237</v>
      </c>
      <c r="B187" s="21">
        <v>52</v>
      </c>
      <c r="C187" t="str">
        <f>IF(OR(
LEFT(Table5[[#This Row],[Coin Name]],1)="A",
LEFT(Table5[[#This Row],[Coin Name]],1)="E",
LEFT(Table5[[#This Row],[Coin Name]],1)="I",
LEFT(Table5[[#This Row],[Coin Name]],1)="O",
LEFT(Table5[[#This Row],[Coin Name]],1)="U",
LEFT(Table5[[#This Row],[Coin Name]],1)="B",
LEFT(Table5[[#This Row],[Coin Name]],1)="C",
LEFT(Table5[[#This Row],[Coin Name]],1)="D"
), "Yes", "No")</f>
        <v>Yes</v>
      </c>
    </row>
    <row r="188" spans="1:3" x14ac:dyDescent="0.3">
      <c r="A188" s="22" t="s">
        <v>1243</v>
      </c>
      <c r="B188" s="23">
        <v>105335</v>
      </c>
      <c r="C188" t="str">
        <f>IF(OR(
LEFT(Table5[[#This Row],[Coin Name]],1)="A",
LEFT(Table5[[#This Row],[Coin Name]],1)="E",
LEFT(Table5[[#This Row],[Coin Name]],1)="I",
LEFT(Table5[[#This Row],[Coin Name]],1)="O",
LEFT(Table5[[#This Row],[Coin Name]],1)="U",
LEFT(Table5[[#This Row],[Coin Name]],1)="B",
LEFT(Table5[[#This Row],[Coin Name]],1)="C",
LEFT(Table5[[#This Row],[Coin Name]],1)="D"
), "Yes", "No")</f>
        <v>Yes</v>
      </c>
    </row>
  </sheetData>
  <pageMargins left="0.7" right="0.7" top="0.75" bottom="0.75" header="0.3" footer="0.3"/>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3B092-42F3-4FAB-970F-9D7745772E46}">
  <sheetPr codeName="Sheet9"/>
  <dimension ref="A1:L188"/>
  <sheetViews>
    <sheetView topLeftCell="D1" zoomScale="110" workbookViewId="0">
      <selection activeCell="K20" sqref="K20"/>
    </sheetView>
  </sheetViews>
  <sheetFormatPr defaultRowHeight="14.4" x14ac:dyDescent="0.3"/>
  <cols>
    <col min="1" max="1" width="31.109375" bestFit="1" customWidth="1"/>
    <col min="2" max="2" width="10" bestFit="1" customWidth="1"/>
    <col min="3" max="3" width="12.33203125" customWidth="1"/>
    <col min="4" max="4" width="18.33203125" customWidth="1"/>
    <col min="5" max="5" width="12.6640625" customWidth="1"/>
    <col min="6" max="6" width="20.88671875" customWidth="1"/>
    <col min="9" max="9" width="19.6640625" bestFit="1" customWidth="1"/>
    <col min="10" max="11" width="12.109375" bestFit="1" customWidth="1"/>
  </cols>
  <sheetData>
    <row r="1" spans="1:12" ht="15" thickBot="1" x14ac:dyDescent="0.35">
      <c r="A1" s="24" t="s">
        <v>0</v>
      </c>
      <c r="B1" s="25" t="s">
        <v>1</v>
      </c>
      <c r="C1" s="25" t="s">
        <v>2</v>
      </c>
      <c r="D1" s="25" t="s">
        <v>5</v>
      </c>
      <c r="E1" s="25" t="s">
        <v>4</v>
      </c>
      <c r="F1" s="29" t="s">
        <v>1253</v>
      </c>
    </row>
    <row r="2" spans="1:12" ht="15" thickTop="1" x14ac:dyDescent="0.3">
      <c r="A2" s="18" t="s">
        <v>7</v>
      </c>
      <c r="B2" s="19" t="s">
        <v>8</v>
      </c>
      <c r="C2" s="19">
        <v>112396.23</v>
      </c>
      <c r="D2" s="19">
        <v>61196410006</v>
      </c>
      <c r="E2" s="19">
        <v>2236591973065</v>
      </c>
      <c r="F2" s="30">
        <v>19910000</v>
      </c>
      <c r="I2" t="s">
        <v>1299</v>
      </c>
      <c r="J2" t="s">
        <v>1300</v>
      </c>
      <c r="K2" t="s">
        <v>1301</v>
      </c>
    </row>
    <row r="3" spans="1:12" ht="23.4" x14ac:dyDescent="0.45">
      <c r="A3" s="20" t="s">
        <v>14</v>
      </c>
      <c r="B3" s="21" t="s">
        <v>15</v>
      </c>
      <c r="C3" s="21">
        <v>4631.6899999999996</v>
      </c>
      <c r="D3" s="21">
        <v>43714609700</v>
      </c>
      <c r="E3" s="21">
        <v>558774287294</v>
      </c>
      <c r="F3" s="31">
        <v>120700000</v>
      </c>
      <c r="I3" t="s">
        <v>0</v>
      </c>
      <c r="J3" s="34" t="s">
        <v>7</v>
      </c>
      <c r="K3" s="34" t="s">
        <v>21</v>
      </c>
      <c r="L3" s="33" t="s">
        <v>1307</v>
      </c>
    </row>
    <row r="4" spans="1:12" x14ac:dyDescent="0.3">
      <c r="A4" s="18" t="s">
        <v>21</v>
      </c>
      <c r="B4" s="19" t="s">
        <v>21</v>
      </c>
      <c r="C4" s="19">
        <v>3.02</v>
      </c>
      <c r="D4" s="19">
        <v>6447508710</v>
      </c>
      <c r="E4" s="19">
        <v>179761935139</v>
      </c>
      <c r="F4" s="30">
        <v>59480000000</v>
      </c>
      <c r="I4" t="s">
        <v>1</v>
      </c>
      <c r="J4" t="str">
        <f>_xlfn.XLOOKUP(J3, CryptoTable[Coin Name], CryptoTable[Symbol], "Not Found")</f>
        <v>BTC</v>
      </c>
      <c r="K4" t="str">
        <f>_xlfn.XLOOKUP(K3, CryptoTable[Coin Name], CryptoTable[Symbol], "Not Found")</f>
        <v>XRP</v>
      </c>
    </row>
    <row r="5" spans="1:12" x14ac:dyDescent="0.3">
      <c r="A5" s="20" t="s">
        <v>27</v>
      </c>
      <c r="B5" s="21" t="s">
        <v>28</v>
      </c>
      <c r="C5" s="21">
        <v>1</v>
      </c>
      <c r="D5" s="21">
        <v>117252093277</v>
      </c>
      <c r="E5" s="21">
        <v>167211922205</v>
      </c>
      <c r="F5" s="31">
        <v>167200000000</v>
      </c>
      <c r="I5" t="s">
        <v>1302</v>
      </c>
      <c r="J5">
        <f>_xlfn.XLOOKUP(J3, CryptoTable[Coin Name], CryptoTable[Price (USD)], "")</f>
        <v>112396.23</v>
      </c>
      <c r="K5">
        <f>_xlfn.XLOOKUP(K3, CryptoTable[Coin Name], CryptoTable[Price (USD)], "")</f>
        <v>3.02</v>
      </c>
    </row>
    <row r="6" spans="1:12" x14ac:dyDescent="0.3">
      <c r="A6" s="18" t="s">
        <v>34</v>
      </c>
      <c r="B6" s="19" t="s">
        <v>34</v>
      </c>
      <c r="C6" s="19">
        <v>864.91</v>
      </c>
      <c r="D6" s="19">
        <v>2278674127</v>
      </c>
      <c r="E6" s="19">
        <v>120460279991</v>
      </c>
      <c r="F6" s="30">
        <v>139280000</v>
      </c>
      <c r="I6" t="s">
        <v>1303</v>
      </c>
      <c r="J6">
        <f>_xlfn.XLOOKUP(J3, CryptoTable[Coin Name], CryptoTable[Volume (24h) USD], "")</f>
        <v>61196410006</v>
      </c>
      <c r="K6">
        <f>_xlfn.XLOOKUP(K3, CryptoTable[Coin Name], CryptoTable[Volume (24h) USD], "")</f>
        <v>6447508710</v>
      </c>
    </row>
    <row r="7" spans="1:12" x14ac:dyDescent="0.3">
      <c r="A7" s="20" t="s">
        <v>40</v>
      </c>
      <c r="B7" s="21" t="s">
        <v>41</v>
      </c>
      <c r="C7" s="21">
        <v>208.97</v>
      </c>
      <c r="D7" s="21">
        <v>10127054144</v>
      </c>
      <c r="E7" s="21">
        <v>112989075044</v>
      </c>
      <c r="F7" s="31">
        <v>540670000</v>
      </c>
      <c r="I7" t="s">
        <v>4</v>
      </c>
      <c r="J7">
        <f>_xlfn.XLOOKUP(J3, CryptoTable[Coin Name], CryptoTable[Market Cap], "")</f>
        <v>2236591973065</v>
      </c>
      <c r="K7">
        <f>_xlfn.XLOOKUP(K3, CryptoTable[Coin Name], CryptoTable[Market Cap], "")</f>
        <v>179761935139</v>
      </c>
    </row>
    <row r="8" spans="1:12" x14ac:dyDescent="0.3">
      <c r="A8" s="18" t="s">
        <v>47</v>
      </c>
      <c r="B8" s="19" t="s">
        <v>47</v>
      </c>
      <c r="C8" s="19">
        <v>0.99970000000000003</v>
      </c>
      <c r="D8" s="19">
        <v>17027792821</v>
      </c>
      <c r="E8" s="19">
        <v>69140705171</v>
      </c>
      <c r="F8" s="30">
        <v>69150000000</v>
      </c>
      <c r="I8" t="s">
        <v>6</v>
      </c>
      <c r="J8">
        <f>_xlfn.XLOOKUP(J3, CryptoTable[Coin Name], CryptoTable[Circulating_Supply($)], "")</f>
        <v>19910000</v>
      </c>
      <c r="K8">
        <f>_xlfn.XLOOKUP(K3, CryptoTable[Coin Name], CryptoTable[Circulating_Supply($)], "")</f>
        <v>59480000000</v>
      </c>
    </row>
    <row r="9" spans="1:12" x14ac:dyDescent="0.3">
      <c r="A9" s="20" t="s">
        <v>53</v>
      </c>
      <c r="B9" s="21" t="s">
        <v>54</v>
      </c>
      <c r="C9" s="21">
        <v>0.22170000000000001</v>
      </c>
      <c r="D9" s="21">
        <v>1961967012</v>
      </c>
      <c r="E9" s="21">
        <v>33418883909</v>
      </c>
      <c r="F9" s="31">
        <v>150690000000</v>
      </c>
    </row>
    <row r="10" spans="1:12" x14ac:dyDescent="0.3">
      <c r="A10" s="18" t="s">
        <v>60</v>
      </c>
      <c r="B10" s="19" t="s">
        <v>61</v>
      </c>
      <c r="C10" s="19">
        <v>0.35020000000000001</v>
      </c>
      <c r="D10" s="19">
        <v>973139421</v>
      </c>
      <c r="E10" s="19">
        <v>33151724508</v>
      </c>
      <c r="F10" s="30">
        <v>94660000000</v>
      </c>
    </row>
    <row r="11" spans="1:12" x14ac:dyDescent="0.3">
      <c r="A11" s="20" t="s">
        <v>67</v>
      </c>
      <c r="B11" s="21" t="s">
        <v>68</v>
      </c>
      <c r="C11" s="21">
        <v>0.86929999999999996</v>
      </c>
      <c r="D11" s="21">
        <v>1153461846</v>
      </c>
      <c r="E11" s="21">
        <v>31055700401</v>
      </c>
      <c r="F11" s="31">
        <v>35720000000</v>
      </c>
      <c r="I11" t="s">
        <v>1304</v>
      </c>
      <c r="J11">
        <f>ABS(J6-K6)</f>
        <v>54748901296</v>
      </c>
    </row>
    <row r="12" spans="1:12" x14ac:dyDescent="0.3">
      <c r="A12" s="18" t="s">
        <v>74</v>
      </c>
      <c r="B12" s="19" t="s">
        <v>75</v>
      </c>
      <c r="C12" s="19">
        <v>0.99950000000000006</v>
      </c>
      <c r="D12" s="19">
        <v>64711407</v>
      </c>
      <c r="E12" s="19">
        <v>687657857</v>
      </c>
      <c r="F12" s="30">
        <v>687950000</v>
      </c>
      <c r="I12" t="s">
        <v>1305</v>
      </c>
      <c r="J12">
        <f>ABS(J7-K7)</f>
        <v>2056830037926</v>
      </c>
    </row>
    <row r="13" spans="1:12" x14ac:dyDescent="0.3">
      <c r="A13" s="20" t="s">
        <v>81</v>
      </c>
      <c r="B13" s="21" t="s">
        <v>82</v>
      </c>
      <c r="C13" s="21">
        <v>42.45</v>
      </c>
      <c r="D13" s="21">
        <v>71132312</v>
      </c>
      <c r="E13" s="21">
        <v>687228061</v>
      </c>
      <c r="F13" s="31">
        <v>16180000</v>
      </c>
      <c r="I13" t="s">
        <v>1306</v>
      </c>
      <c r="J13">
        <f>ABS(J8-K8)</f>
        <v>59460090000</v>
      </c>
    </row>
    <row r="14" spans="1:12" x14ac:dyDescent="0.3">
      <c r="A14" s="18" t="s">
        <v>88</v>
      </c>
      <c r="B14" s="19" t="s">
        <v>88</v>
      </c>
      <c r="C14" s="19">
        <v>9.1999999999999998E-3</v>
      </c>
      <c r="D14" s="19">
        <v>29038108</v>
      </c>
      <c r="E14" s="19">
        <v>683949558</v>
      </c>
      <c r="F14" s="30">
        <v>74480000000</v>
      </c>
    </row>
    <row r="15" spans="1:12" x14ac:dyDescent="0.3">
      <c r="A15" s="20" t="s">
        <v>94</v>
      </c>
      <c r="B15" s="21" t="s">
        <v>95</v>
      </c>
      <c r="C15" s="21">
        <v>0.1171</v>
      </c>
      <c r="D15" s="21">
        <v>24411942</v>
      </c>
      <c r="E15" s="21">
        <v>673440961</v>
      </c>
      <c r="F15" s="31">
        <v>5740000000</v>
      </c>
    </row>
    <row r="16" spans="1:12" x14ac:dyDescent="0.3">
      <c r="A16" s="18" t="s">
        <v>101</v>
      </c>
      <c r="B16" s="19" t="s">
        <v>102</v>
      </c>
      <c r="C16" s="19">
        <v>6.6699999999999995E-2</v>
      </c>
      <c r="D16" s="19">
        <v>29706225</v>
      </c>
      <c r="E16" s="19">
        <v>656968217</v>
      </c>
      <c r="F16" s="30">
        <v>986060000000000</v>
      </c>
    </row>
    <row r="17" spans="1:6" x14ac:dyDescent="0.3">
      <c r="A17" s="20" t="s">
        <v>107</v>
      </c>
      <c r="B17" s="21" t="s">
        <v>108</v>
      </c>
      <c r="C17" s="21">
        <v>0.39090000000000003</v>
      </c>
      <c r="D17" s="21">
        <v>21684159</v>
      </c>
      <c r="E17" s="21">
        <v>626962319</v>
      </c>
      <c r="F17" s="31">
        <v>1600000000</v>
      </c>
    </row>
    <row r="18" spans="1:6" x14ac:dyDescent="0.3">
      <c r="A18" s="18" t="s">
        <v>114</v>
      </c>
      <c r="B18" s="19" t="s">
        <v>115</v>
      </c>
      <c r="C18" s="19">
        <v>7.42</v>
      </c>
      <c r="D18" s="19">
        <v>7491105</v>
      </c>
      <c r="E18" s="19">
        <v>621864440</v>
      </c>
      <c r="F18" s="30">
        <v>83730000</v>
      </c>
    </row>
    <row r="19" spans="1:6" x14ac:dyDescent="0.3">
      <c r="A19" s="20" t="s">
        <v>120</v>
      </c>
      <c r="B19" s="21" t="s">
        <v>121</v>
      </c>
      <c r="C19" s="21">
        <v>0.57740000000000002</v>
      </c>
      <c r="D19" s="21">
        <v>23722335</v>
      </c>
      <c r="E19" s="21">
        <v>577405381</v>
      </c>
      <c r="F19" s="31">
        <v>1000000000</v>
      </c>
    </row>
    <row r="20" spans="1:6" x14ac:dyDescent="0.3">
      <c r="A20" s="18" t="s">
        <v>127</v>
      </c>
      <c r="B20" s="19" t="s">
        <v>128</v>
      </c>
      <c r="C20" s="19">
        <v>0.40489999999999998</v>
      </c>
      <c r="D20" s="19">
        <v>19083906</v>
      </c>
      <c r="E20" s="19">
        <v>572387192</v>
      </c>
      <c r="F20" s="30">
        <v>1410000000</v>
      </c>
    </row>
    <row r="21" spans="1:6" x14ac:dyDescent="0.3">
      <c r="A21" s="20" t="s">
        <v>134</v>
      </c>
      <c r="B21" s="21" t="s">
        <v>135</v>
      </c>
      <c r="C21" s="21">
        <v>0.28820000000000001</v>
      </c>
      <c r="D21" s="21">
        <v>27296450</v>
      </c>
      <c r="E21" s="21">
        <v>567782071</v>
      </c>
      <c r="F21" s="31">
        <v>1960000000</v>
      </c>
    </row>
    <row r="22" spans="1:6" x14ac:dyDescent="0.3">
      <c r="A22" s="18" t="s">
        <v>141</v>
      </c>
      <c r="B22" s="19" t="s">
        <v>142</v>
      </c>
      <c r="C22" s="19">
        <v>4.54</v>
      </c>
      <c r="D22" s="19">
        <v>64466358</v>
      </c>
      <c r="E22" s="19">
        <v>1982420729</v>
      </c>
      <c r="F22" s="30">
        <v>436260000</v>
      </c>
    </row>
    <row r="23" spans="1:6" x14ac:dyDescent="0.3">
      <c r="A23" s="20" t="s">
        <v>148</v>
      </c>
      <c r="B23" s="21" t="s">
        <v>149</v>
      </c>
      <c r="C23" s="21">
        <v>5.48</v>
      </c>
      <c r="D23" s="21">
        <v>26985300</v>
      </c>
      <c r="E23" s="21">
        <v>1955931785</v>
      </c>
      <c r="F23" s="31">
        <v>356550000</v>
      </c>
    </row>
    <row r="24" spans="1:6" x14ac:dyDescent="0.3">
      <c r="A24" s="18" t="s">
        <v>155</v>
      </c>
      <c r="B24" s="19" t="s">
        <v>156</v>
      </c>
      <c r="C24" s="19">
        <v>1</v>
      </c>
      <c r="D24" s="19">
        <v>30789467</v>
      </c>
      <c r="E24" s="19">
        <v>1253095193</v>
      </c>
      <c r="F24" s="30">
        <v>1250000000</v>
      </c>
    </row>
    <row r="25" spans="1:6" x14ac:dyDescent="0.3">
      <c r="A25" s="20" t="s">
        <v>161</v>
      </c>
      <c r="B25" s="21" t="s">
        <v>162</v>
      </c>
      <c r="C25" s="21">
        <v>2.4E-2</v>
      </c>
      <c r="D25" s="21">
        <v>8289454</v>
      </c>
      <c r="E25" s="21">
        <v>738956737</v>
      </c>
      <c r="F25" s="31">
        <v>30840000000</v>
      </c>
    </row>
    <row r="26" spans="1:6" x14ac:dyDescent="0.3">
      <c r="A26" s="18" t="s">
        <v>168</v>
      </c>
      <c r="B26" s="19" t="s">
        <v>169</v>
      </c>
      <c r="C26" s="19">
        <v>1.1000000000000001</v>
      </c>
      <c r="D26" s="19">
        <v>1338625</v>
      </c>
      <c r="E26" s="19">
        <v>691597867</v>
      </c>
      <c r="F26" s="30">
        <v>626670000</v>
      </c>
    </row>
    <row r="27" spans="1:6" x14ac:dyDescent="0.3">
      <c r="A27" s="20" t="s">
        <v>174</v>
      </c>
      <c r="B27" s="21" t="s">
        <v>175</v>
      </c>
      <c r="C27" s="21">
        <v>0.99829999999999997</v>
      </c>
      <c r="D27" s="21">
        <v>4463129</v>
      </c>
      <c r="E27" s="21">
        <v>642088143</v>
      </c>
      <c r="F27" s="31">
        <v>643120000</v>
      </c>
    </row>
    <row r="28" spans="1:6" x14ac:dyDescent="0.3">
      <c r="A28" s="18" t="s">
        <v>181</v>
      </c>
      <c r="B28" s="19" t="s">
        <v>182</v>
      </c>
      <c r="C28" s="19">
        <v>0.17449999999999999</v>
      </c>
      <c r="D28" s="19">
        <v>1377265</v>
      </c>
      <c r="E28" s="19">
        <v>607020903</v>
      </c>
      <c r="F28" s="30">
        <v>3470000000</v>
      </c>
    </row>
    <row r="29" spans="1:6" x14ac:dyDescent="0.3">
      <c r="A29" s="20" t="s">
        <v>188</v>
      </c>
      <c r="B29" s="21" t="s">
        <v>189</v>
      </c>
      <c r="C29" s="21">
        <v>7.6300000000000007E-2</v>
      </c>
      <c r="D29" s="21">
        <v>4396792</v>
      </c>
      <c r="E29" s="21">
        <v>545355889</v>
      </c>
      <c r="F29" s="31">
        <v>7140000000</v>
      </c>
    </row>
    <row r="30" spans="1:6" x14ac:dyDescent="0.3">
      <c r="A30" s="18" t="s">
        <v>195</v>
      </c>
      <c r="B30" s="19" t="s">
        <v>196</v>
      </c>
      <c r="C30" s="19">
        <v>0.99980000000000002</v>
      </c>
      <c r="D30" s="19">
        <v>5715956</v>
      </c>
      <c r="E30" s="19">
        <v>538269461</v>
      </c>
      <c r="F30" s="30">
        <v>538360000</v>
      </c>
    </row>
    <row r="31" spans="1:6" x14ac:dyDescent="0.3">
      <c r="A31" s="20" t="s">
        <v>202</v>
      </c>
      <c r="B31" s="21" t="s">
        <v>203</v>
      </c>
      <c r="C31" s="21">
        <v>1.94</v>
      </c>
      <c r="D31" s="21">
        <v>325843</v>
      </c>
      <c r="E31" s="21">
        <v>503419749</v>
      </c>
      <c r="F31" s="31">
        <v>258970000.00000003</v>
      </c>
    </row>
    <row r="32" spans="1:6" x14ac:dyDescent="0.3">
      <c r="A32" s="18" t="s">
        <v>209</v>
      </c>
      <c r="B32" s="19" t="s">
        <v>209</v>
      </c>
      <c r="C32" s="19">
        <v>7.1400000000000005E-2</v>
      </c>
      <c r="D32" s="19">
        <v>6721454</v>
      </c>
      <c r="E32" s="19">
        <v>136125306</v>
      </c>
      <c r="F32" s="30">
        <v>1900000000</v>
      </c>
    </row>
    <row r="33" spans="1:6" x14ac:dyDescent="0.3">
      <c r="A33" s="20" t="s">
        <v>214</v>
      </c>
      <c r="B33" s="21" t="s">
        <v>215</v>
      </c>
      <c r="C33" s="21">
        <v>0.99950000000000006</v>
      </c>
      <c r="D33" s="21">
        <v>343471</v>
      </c>
      <c r="E33" s="21">
        <v>132578463</v>
      </c>
      <c r="F33" s="31">
        <v>132630000</v>
      </c>
    </row>
    <row r="34" spans="1:6" x14ac:dyDescent="0.3">
      <c r="A34" s="18" t="s">
        <v>219</v>
      </c>
      <c r="B34" s="19" t="s">
        <v>220</v>
      </c>
      <c r="C34" s="19">
        <v>0.99960000000000004</v>
      </c>
      <c r="D34" s="19">
        <v>1092882</v>
      </c>
      <c r="E34" s="19">
        <v>131915058</v>
      </c>
      <c r="F34" s="30">
        <v>131949999.99999999</v>
      </c>
    </row>
    <row r="35" spans="1:6" x14ac:dyDescent="0.3">
      <c r="A35" s="20" t="s">
        <v>225</v>
      </c>
      <c r="B35" s="21" t="s">
        <v>226</v>
      </c>
      <c r="C35" s="21">
        <v>0.13320000000000001</v>
      </c>
      <c r="D35" s="21">
        <v>2531201</v>
      </c>
      <c r="E35" s="21">
        <v>131880666</v>
      </c>
      <c r="F35" s="31">
        <v>989350000</v>
      </c>
    </row>
    <row r="36" spans="1:6" x14ac:dyDescent="0.3">
      <c r="A36" s="18" t="s">
        <v>231</v>
      </c>
      <c r="B36" s="19" t="s">
        <v>232</v>
      </c>
      <c r="C36" s="19">
        <v>0.27810000000000001</v>
      </c>
      <c r="D36" s="19">
        <v>7930906</v>
      </c>
      <c r="E36" s="19">
        <v>129554753</v>
      </c>
      <c r="F36" s="30">
        <v>465830000</v>
      </c>
    </row>
    <row r="37" spans="1:6" x14ac:dyDescent="0.3">
      <c r="A37" s="20" t="s">
        <v>238</v>
      </c>
      <c r="B37" s="21" t="s">
        <v>238</v>
      </c>
      <c r="C37" s="21">
        <v>0.99970000000000003</v>
      </c>
      <c r="D37" s="21">
        <v>8432086</v>
      </c>
      <c r="E37" s="21">
        <v>128872926</v>
      </c>
      <c r="F37" s="31">
        <v>128900000</v>
      </c>
    </row>
    <row r="38" spans="1:6" x14ac:dyDescent="0.3">
      <c r="A38" s="18" t="s">
        <v>242</v>
      </c>
      <c r="B38" s="19" t="s">
        <v>243</v>
      </c>
      <c r="C38" s="19">
        <v>4.9599999999999998E-2</v>
      </c>
      <c r="D38" s="19">
        <v>10778520</v>
      </c>
      <c r="E38" s="19">
        <v>128393361</v>
      </c>
      <c r="F38" s="30">
        <v>2590000000</v>
      </c>
    </row>
    <row r="39" spans="1:6" x14ac:dyDescent="0.3">
      <c r="A39" s="20" t="s">
        <v>249</v>
      </c>
      <c r="B39" s="21" t="s">
        <v>250</v>
      </c>
      <c r="C39" s="21">
        <v>2.6700000000000002E-2</v>
      </c>
      <c r="D39" s="21">
        <v>10487502</v>
      </c>
      <c r="E39" s="21">
        <v>128203844</v>
      </c>
      <c r="F39" s="31">
        <v>4790000000</v>
      </c>
    </row>
    <row r="40" spans="1:6" x14ac:dyDescent="0.3">
      <c r="A40" s="18" t="s">
        <v>256</v>
      </c>
      <c r="B40" s="19" t="s">
        <v>257</v>
      </c>
      <c r="C40" s="19">
        <v>6.8099999999999994E-2</v>
      </c>
      <c r="D40" s="19">
        <v>11344790</v>
      </c>
      <c r="E40" s="19">
        <v>127672149</v>
      </c>
      <c r="F40" s="30">
        <v>1870000000</v>
      </c>
    </row>
    <row r="41" spans="1:6" x14ac:dyDescent="0.3">
      <c r="A41" s="20" t="s">
        <v>262</v>
      </c>
      <c r="B41" s="21" t="s">
        <v>263</v>
      </c>
      <c r="C41" s="21">
        <v>4.24</v>
      </c>
      <c r="D41" s="21">
        <v>9341488</v>
      </c>
      <c r="E41" s="21">
        <v>127660598</v>
      </c>
      <c r="F41" s="31">
        <v>30080000</v>
      </c>
    </row>
    <row r="42" spans="1:6" x14ac:dyDescent="0.3">
      <c r="A42" s="18" t="s">
        <v>269</v>
      </c>
      <c r="B42" s="19" t="s">
        <v>270</v>
      </c>
      <c r="C42" s="19">
        <v>0.43259999999999998</v>
      </c>
      <c r="D42" s="19">
        <v>9141404</v>
      </c>
      <c r="E42" s="19">
        <v>87828987</v>
      </c>
      <c r="F42" s="30">
        <v>203020000</v>
      </c>
    </row>
    <row r="43" spans="1:6" x14ac:dyDescent="0.3">
      <c r="A43" s="20" t="s">
        <v>276</v>
      </c>
      <c r="B43" s="21" t="s">
        <v>277</v>
      </c>
      <c r="C43" s="21">
        <v>1.62</v>
      </c>
      <c r="D43" s="21">
        <v>9108166</v>
      </c>
      <c r="E43" s="21">
        <v>87776158</v>
      </c>
      <c r="F43" s="31">
        <v>54050000</v>
      </c>
    </row>
    <row r="44" spans="1:6" x14ac:dyDescent="0.3">
      <c r="A44" s="18" t="s">
        <v>282</v>
      </c>
      <c r="B44" s="19" t="s">
        <v>283</v>
      </c>
      <c r="C44" s="19">
        <v>0.69950000000000001</v>
      </c>
      <c r="D44" s="19">
        <v>24699</v>
      </c>
      <c r="E44" s="19">
        <v>86786092</v>
      </c>
      <c r="F44" s="30">
        <v>124060000</v>
      </c>
    </row>
    <row r="45" spans="1:6" x14ac:dyDescent="0.3">
      <c r="A45" s="20" t="s">
        <v>288</v>
      </c>
      <c r="B45" s="21" t="s">
        <v>288</v>
      </c>
      <c r="C45" s="21">
        <v>2.88</v>
      </c>
      <c r="D45" s="21">
        <v>295825</v>
      </c>
      <c r="E45" s="21">
        <v>86613592</v>
      </c>
      <c r="F45" s="31">
        <v>30000000</v>
      </c>
    </row>
    <row r="46" spans="1:6" x14ac:dyDescent="0.3">
      <c r="A46" s="18" t="s">
        <v>294</v>
      </c>
      <c r="B46" s="19" t="s">
        <v>295</v>
      </c>
      <c r="C46" s="19">
        <v>8.6499999999999994E-2</v>
      </c>
      <c r="D46" s="19">
        <v>4522686</v>
      </c>
      <c r="E46" s="19">
        <v>86345798</v>
      </c>
      <c r="F46" s="30">
        <v>998460000</v>
      </c>
    </row>
    <row r="47" spans="1:6" x14ac:dyDescent="0.3">
      <c r="A47" s="20" t="s">
        <v>300</v>
      </c>
      <c r="B47" s="21" t="s">
        <v>301</v>
      </c>
      <c r="C47" s="21">
        <v>6.4000000000000001E-2</v>
      </c>
      <c r="D47" s="21">
        <v>6787116</v>
      </c>
      <c r="E47" s="21">
        <v>86441423</v>
      </c>
      <c r="F47" s="31">
        <v>1350000000</v>
      </c>
    </row>
    <row r="48" spans="1:6" x14ac:dyDescent="0.3">
      <c r="A48" s="18" t="s">
        <v>306</v>
      </c>
      <c r="B48" s="19" t="s">
        <v>307</v>
      </c>
      <c r="C48" s="19">
        <v>0.45040000000000002</v>
      </c>
      <c r="D48" s="19">
        <v>4342188</v>
      </c>
      <c r="E48" s="19">
        <v>85996731</v>
      </c>
      <c r="F48" s="30">
        <v>190900000</v>
      </c>
    </row>
    <row r="49" spans="1:6" x14ac:dyDescent="0.3">
      <c r="A49" s="20" t="s">
        <v>312</v>
      </c>
      <c r="B49" s="21" t="s">
        <v>313</v>
      </c>
      <c r="C49" s="21">
        <v>8.5699999999999998E-2</v>
      </c>
      <c r="D49" s="21">
        <v>14947172</v>
      </c>
      <c r="E49" s="21">
        <v>85680579</v>
      </c>
      <c r="F49" s="31">
        <v>999990000</v>
      </c>
    </row>
    <row r="50" spans="1:6" x14ac:dyDescent="0.3">
      <c r="A50" s="18" t="s">
        <v>319</v>
      </c>
      <c r="B50" s="19" t="s">
        <v>320</v>
      </c>
      <c r="C50" s="19">
        <v>8.5400000000000004E-2</v>
      </c>
      <c r="D50" s="19">
        <v>10238715</v>
      </c>
      <c r="E50" s="19">
        <v>85436011</v>
      </c>
      <c r="F50" s="30">
        <v>999960000</v>
      </c>
    </row>
    <row r="51" spans="1:6" x14ac:dyDescent="0.3">
      <c r="A51" s="20" t="s">
        <v>332</v>
      </c>
      <c r="B51" s="21" t="s">
        <v>333</v>
      </c>
      <c r="C51" s="21">
        <v>3.1399999999999997E-2</v>
      </c>
      <c r="D51" s="21">
        <v>13787251</v>
      </c>
      <c r="E51" s="21">
        <v>62836837</v>
      </c>
      <c r="F51" s="31">
        <v>2000000000</v>
      </c>
    </row>
    <row r="52" spans="1:6" x14ac:dyDescent="0.3">
      <c r="A52" s="18" t="s">
        <v>339</v>
      </c>
      <c r="B52" s="19" t="s">
        <v>340</v>
      </c>
      <c r="C52" s="19">
        <v>0.72919999999999996</v>
      </c>
      <c r="D52" s="19">
        <v>1249114</v>
      </c>
      <c r="E52" s="19">
        <v>62825935</v>
      </c>
      <c r="F52" s="30">
        <v>86140000</v>
      </c>
    </row>
    <row r="53" spans="1:6" x14ac:dyDescent="0.3">
      <c r="A53" s="20" t="s">
        <v>346</v>
      </c>
      <c r="B53" s="21" t="s">
        <v>347</v>
      </c>
      <c r="C53" s="21">
        <v>8.0000000000000002E-3</v>
      </c>
      <c r="D53" s="21">
        <v>5327551</v>
      </c>
      <c r="E53" s="21">
        <v>62746080</v>
      </c>
      <c r="F53" s="31">
        <v>7800000000</v>
      </c>
    </row>
    <row r="54" spans="1:6" x14ac:dyDescent="0.3">
      <c r="A54" s="18" t="s">
        <v>352</v>
      </c>
      <c r="B54" s="19" t="s">
        <v>353</v>
      </c>
      <c r="C54" s="19">
        <v>7.9799999999999996E-2</v>
      </c>
      <c r="D54" s="19">
        <v>9047350</v>
      </c>
      <c r="E54" s="19">
        <v>62547790</v>
      </c>
      <c r="F54" s="30">
        <v>783570000</v>
      </c>
    </row>
    <row r="55" spans="1:6" x14ac:dyDescent="0.3">
      <c r="A55" s="20" t="s">
        <v>358</v>
      </c>
      <c r="B55" s="21" t="s">
        <v>359</v>
      </c>
      <c r="C55" s="21">
        <v>2.8999999999999998E-3</v>
      </c>
      <c r="D55" s="21">
        <v>2058149</v>
      </c>
      <c r="E55" s="21">
        <v>62328087</v>
      </c>
      <c r="F55" s="31">
        <v>21290000000</v>
      </c>
    </row>
    <row r="56" spans="1:6" x14ac:dyDescent="0.3">
      <c r="A56" s="18" t="s">
        <v>365</v>
      </c>
      <c r="B56" s="19" t="s">
        <v>366</v>
      </c>
      <c r="C56" s="19">
        <v>11.79</v>
      </c>
      <c r="D56" s="19">
        <v>76515</v>
      </c>
      <c r="E56" s="19">
        <v>62064898</v>
      </c>
      <c r="F56" s="30">
        <v>5260000</v>
      </c>
    </row>
    <row r="57" spans="1:6" x14ac:dyDescent="0.3">
      <c r="A57" s="20" t="s">
        <v>371</v>
      </c>
      <c r="B57" s="21" t="s">
        <v>372</v>
      </c>
      <c r="C57" s="21">
        <v>0.18160000000000001</v>
      </c>
      <c r="D57" s="21">
        <v>8267657</v>
      </c>
      <c r="E57" s="21">
        <v>61786840</v>
      </c>
      <c r="F57" s="31">
        <v>340130000</v>
      </c>
    </row>
    <row r="58" spans="1:6" x14ac:dyDescent="0.3">
      <c r="A58" s="18" t="s">
        <v>378</v>
      </c>
      <c r="B58" s="19" t="s">
        <v>379</v>
      </c>
      <c r="C58" s="19">
        <v>10.119999999999999</v>
      </c>
      <c r="D58" s="19">
        <v>27805860</v>
      </c>
      <c r="E58" s="19">
        <v>61648001</v>
      </c>
      <c r="F58" s="30">
        <v>6090000</v>
      </c>
    </row>
    <row r="59" spans="1:6" x14ac:dyDescent="0.3">
      <c r="A59" s="20" t="s">
        <v>384</v>
      </c>
      <c r="B59" s="21" t="s">
        <v>385</v>
      </c>
      <c r="C59" s="21">
        <v>5.1999999999999998E-3</v>
      </c>
      <c r="D59" s="21">
        <v>213098</v>
      </c>
      <c r="E59" s="21">
        <v>61619476</v>
      </c>
      <c r="F59" s="31">
        <v>11820000000</v>
      </c>
    </row>
    <row r="60" spans="1:6" x14ac:dyDescent="0.3">
      <c r="A60" s="18" t="s">
        <v>391</v>
      </c>
      <c r="B60" s="19" t="s">
        <v>392</v>
      </c>
      <c r="C60" s="19">
        <v>2.17</v>
      </c>
      <c r="D60" s="19">
        <v>2564140</v>
      </c>
      <c r="E60" s="19">
        <v>61481343</v>
      </c>
      <c r="F60" s="30">
        <v>28300000</v>
      </c>
    </row>
    <row r="61" spans="1:6" x14ac:dyDescent="0.3">
      <c r="A61" s="20" t="s">
        <v>398</v>
      </c>
      <c r="B61" s="21" t="s">
        <v>399</v>
      </c>
      <c r="C61" s="21">
        <v>0.67269999999999996</v>
      </c>
      <c r="D61" s="21">
        <v>35491</v>
      </c>
      <c r="E61" s="21">
        <v>45704968</v>
      </c>
      <c r="F61" s="31">
        <v>67930000</v>
      </c>
    </row>
    <row r="62" spans="1:6" x14ac:dyDescent="0.3">
      <c r="A62" s="18" t="s">
        <v>1</v>
      </c>
      <c r="B62" s="19" t="s">
        <v>405</v>
      </c>
      <c r="C62" s="19">
        <v>7.4000000000000003E-3</v>
      </c>
      <c r="D62" s="19">
        <v>758766</v>
      </c>
      <c r="E62" s="19">
        <v>45421680</v>
      </c>
      <c r="F62" s="30">
        <v>6170000000</v>
      </c>
    </row>
    <row r="63" spans="1:6" x14ac:dyDescent="0.3">
      <c r="A63" s="20" t="s">
        <v>410</v>
      </c>
      <c r="B63" s="21" t="s">
        <v>411</v>
      </c>
      <c r="C63" s="21">
        <v>2.3599999999999999E-2</v>
      </c>
      <c r="D63" s="21">
        <v>10853972</v>
      </c>
      <c r="E63" s="21">
        <v>45403740</v>
      </c>
      <c r="F63" s="31">
        <v>1920000000</v>
      </c>
    </row>
    <row r="64" spans="1:6" x14ac:dyDescent="0.3">
      <c r="A64" s="18" t="s">
        <v>416</v>
      </c>
      <c r="B64" s="19" t="s">
        <v>417</v>
      </c>
      <c r="C64" s="19">
        <v>6.7400000000000002E-2</v>
      </c>
      <c r="D64" s="19">
        <v>19016000</v>
      </c>
      <c r="E64" s="19">
        <v>45353098</v>
      </c>
      <c r="F64" s="30">
        <v>672700000</v>
      </c>
    </row>
    <row r="65" spans="1:6" x14ac:dyDescent="0.3">
      <c r="A65" s="20" t="s">
        <v>423</v>
      </c>
      <c r="B65" s="21" t="s">
        <v>424</v>
      </c>
      <c r="C65" s="21">
        <v>0.2525</v>
      </c>
      <c r="D65" s="21">
        <v>339268</v>
      </c>
      <c r="E65" s="21">
        <v>45266206</v>
      </c>
      <c r="F65" s="31">
        <v>179200000</v>
      </c>
    </row>
    <row r="66" spans="1:6" x14ac:dyDescent="0.3">
      <c r="A66" s="18" t="s">
        <v>429</v>
      </c>
      <c r="B66" s="19" t="s">
        <v>430</v>
      </c>
      <c r="C66" s="19">
        <v>1.24E-2</v>
      </c>
      <c r="D66" s="19">
        <v>10189722</v>
      </c>
      <c r="E66" s="19">
        <v>45071702</v>
      </c>
      <c r="F66" s="30">
        <v>3640000000</v>
      </c>
    </row>
    <row r="67" spans="1:6" x14ac:dyDescent="0.3">
      <c r="A67" s="20" t="s">
        <v>435</v>
      </c>
      <c r="B67" s="21" t="s">
        <v>436</v>
      </c>
      <c r="C67" s="21">
        <v>0.42049999999999998</v>
      </c>
      <c r="D67" s="21">
        <v>401821</v>
      </c>
      <c r="E67" s="21">
        <v>45027836</v>
      </c>
      <c r="F67" s="31">
        <v>107050000</v>
      </c>
    </row>
    <row r="68" spans="1:6" x14ac:dyDescent="0.3">
      <c r="A68" s="18" t="s">
        <v>446</v>
      </c>
      <c r="B68" s="19" t="s">
        <v>447</v>
      </c>
      <c r="C68" s="19">
        <v>1.01</v>
      </c>
      <c r="D68" s="19">
        <v>10068683</v>
      </c>
      <c r="E68" s="19">
        <v>44872405</v>
      </c>
      <c r="F68" s="30">
        <v>44050000</v>
      </c>
    </row>
    <row r="69" spans="1:6" x14ac:dyDescent="0.3">
      <c r="A69" s="20" t="s">
        <v>453</v>
      </c>
      <c r="B69" s="21" t="s">
        <v>454</v>
      </c>
      <c r="C69" s="21">
        <v>0.249</v>
      </c>
      <c r="D69" s="21">
        <v>68082352</v>
      </c>
      <c r="E69" s="21">
        <v>44330157</v>
      </c>
      <c r="F69" s="31">
        <v>177960000</v>
      </c>
    </row>
    <row r="70" spans="1:6" x14ac:dyDescent="0.3">
      <c r="A70" s="18" t="s">
        <v>459</v>
      </c>
      <c r="B70" s="19" t="s">
        <v>460</v>
      </c>
      <c r="C70" s="19">
        <v>0.1618</v>
      </c>
      <c r="D70" s="19">
        <v>121069</v>
      </c>
      <c r="E70" s="19">
        <v>35354744</v>
      </c>
      <c r="F70" s="30">
        <v>218430000</v>
      </c>
    </row>
    <row r="71" spans="1:6" x14ac:dyDescent="0.3">
      <c r="A71" s="20" t="s">
        <v>1286</v>
      </c>
      <c r="B71" s="21" t="s">
        <v>465</v>
      </c>
      <c r="C71" s="21">
        <v>0.1431</v>
      </c>
      <c r="D71" s="21">
        <v>7857060</v>
      </c>
      <c r="E71" s="21">
        <v>35264904</v>
      </c>
      <c r="F71" s="31">
        <v>246360000</v>
      </c>
    </row>
    <row r="72" spans="1:6" x14ac:dyDescent="0.3">
      <c r="A72" s="18" t="s">
        <v>471</v>
      </c>
      <c r="B72" s="19" t="s">
        <v>472</v>
      </c>
      <c r="C72" s="19">
        <v>2.0500000000000001E-2</v>
      </c>
      <c r="D72" s="19">
        <v>129282</v>
      </c>
      <c r="E72" s="19">
        <v>35141644</v>
      </c>
      <c r="F72" s="30">
        <v>1710000000</v>
      </c>
    </row>
    <row r="73" spans="1:6" x14ac:dyDescent="0.3">
      <c r="A73" s="20" t="s">
        <v>478</v>
      </c>
      <c r="B73" s="21" t="s">
        <v>479</v>
      </c>
      <c r="C73" s="21">
        <v>3.0099999999999998E-2</v>
      </c>
      <c r="D73" s="21">
        <v>5538677</v>
      </c>
      <c r="E73" s="21">
        <v>35138416</v>
      </c>
      <c r="F73" s="31">
        <v>1160000000</v>
      </c>
    </row>
    <row r="74" spans="1:6" x14ac:dyDescent="0.3">
      <c r="A74" s="18" t="s">
        <v>485</v>
      </c>
      <c r="B74" s="19" t="s">
        <v>485</v>
      </c>
      <c r="C74" s="19">
        <v>0.89870000000000005</v>
      </c>
      <c r="D74" s="19">
        <v>9778739</v>
      </c>
      <c r="E74" s="19">
        <v>35080411</v>
      </c>
      <c r="F74" s="30">
        <v>39030000</v>
      </c>
    </row>
    <row r="75" spans="1:6" x14ac:dyDescent="0.3">
      <c r="A75" s="20" t="s">
        <v>491</v>
      </c>
      <c r="B75" s="21" t="s">
        <v>492</v>
      </c>
      <c r="C75" s="21">
        <v>0.1125</v>
      </c>
      <c r="D75" s="21">
        <v>50371789</v>
      </c>
      <c r="E75" s="21">
        <v>35034139</v>
      </c>
      <c r="F75" s="31">
        <v>311300000</v>
      </c>
    </row>
    <row r="76" spans="1:6" x14ac:dyDescent="0.3">
      <c r="A76" s="18" t="s">
        <v>498</v>
      </c>
      <c r="B76" s="19" t="s">
        <v>499</v>
      </c>
      <c r="C76" s="19">
        <v>6.1000000000000004E-3</v>
      </c>
      <c r="D76" s="19">
        <v>1391859</v>
      </c>
      <c r="E76" s="19">
        <v>34972612</v>
      </c>
      <c r="F76" s="30">
        <v>5730000000</v>
      </c>
    </row>
    <row r="77" spans="1:6" x14ac:dyDescent="0.3">
      <c r="A77" s="20" t="s">
        <v>504</v>
      </c>
      <c r="B77" s="21" t="s">
        <v>505</v>
      </c>
      <c r="C77" s="21">
        <v>1.23</v>
      </c>
      <c r="D77" s="21">
        <v>75600</v>
      </c>
      <c r="E77" s="21">
        <v>34798359</v>
      </c>
      <c r="F77" s="31">
        <v>28270000</v>
      </c>
    </row>
    <row r="78" spans="1:6" x14ac:dyDescent="0.3">
      <c r="A78" s="18" t="s">
        <v>510</v>
      </c>
      <c r="B78" s="19" t="s">
        <v>510</v>
      </c>
      <c r="C78" s="19">
        <v>2.2800000000000001E-2</v>
      </c>
      <c r="D78" s="19">
        <v>18844509</v>
      </c>
      <c r="E78" s="19">
        <v>34575104</v>
      </c>
      <c r="F78" s="30">
        <v>1510000000</v>
      </c>
    </row>
    <row r="79" spans="1:6" x14ac:dyDescent="0.3">
      <c r="A79" s="20" t="s">
        <v>515</v>
      </c>
      <c r="B79" s="21" t="s">
        <v>516</v>
      </c>
      <c r="C79" s="21">
        <v>3.6900000000000002E-2</v>
      </c>
      <c r="D79" s="21">
        <v>8324722</v>
      </c>
      <c r="E79" s="21">
        <v>34508739</v>
      </c>
      <c r="F79" s="31">
        <v>935810000</v>
      </c>
    </row>
    <row r="80" spans="1:6" x14ac:dyDescent="0.3">
      <c r="A80" s="18" t="s">
        <v>522</v>
      </c>
      <c r="B80" s="19" t="s">
        <v>522</v>
      </c>
      <c r="C80" s="19">
        <v>3.1899999999999998E-2</v>
      </c>
      <c r="D80" s="19">
        <v>467706</v>
      </c>
      <c r="E80" s="19">
        <v>26070319</v>
      </c>
      <c r="F80" s="30">
        <v>818170000</v>
      </c>
    </row>
    <row r="81" spans="1:6" x14ac:dyDescent="0.3">
      <c r="A81" s="20" t="s">
        <v>528</v>
      </c>
      <c r="B81" s="21" t="s">
        <v>529</v>
      </c>
      <c r="C81" s="21">
        <v>3.8999999999999998E-3</v>
      </c>
      <c r="D81" s="21">
        <v>6727701</v>
      </c>
      <c r="E81" s="21">
        <v>26014561</v>
      </c>
      <c r="F81" s="31">
        <v>6670000000</v>
      </c>
    </row>
    <row r="82" spans="1:6" x14ac:dyDescent="0.3">
      <c r="A82" s="18" t="s">
        <v>535</v>
      </c>
      <c r="B82" s="19" t="s">
        <v>536</v>
      </c>
      <c r="C82" s="19">
        <v>0.62219999999999998</v>
      </c>
      <c r="D82" s="19">
        <v>9982050</v>
      </c>
      <c r="E82" s="19">
        <v>25922954</v>
      </c>
      <c r="F82" s="30">
        <v>41650000</v>
      </c>
    </row>
    <row r="83" spans="1:6" x14ac:dyDescent="0.3">
      <c r="A83" s="20" t="s">
        <v>541</v>
      </c>
      <c r="B83" s="21" t="s">
        <v>542</v>
      </c>
      <c r="C83" s="21">
        <v>7.6200000000000004E-2</v>
      </c>
      <c r="D83" s="21">
        <v>11510400</v>
      </c>
      <c r="E83" s="21">
        <v>25873467</v>
      </c>
      <c r="F83" s="31">
        <v>420690000000000</v>
      </c>
    </row>
    <row r="84" spans="1:6" x14ac:dyDescent="0.3">
      <c r="A84" s="18" t="s">
        <v>548</v>
      </c>
      <c r="B84" s="19" t="s">
        <v>548</v>
      </c>
      <c r="C84" s="19">
        <v>2.1100000000000001E-2</v>
      </c>
      <c r="D84" s="19">
        <v>1225263</v>
      </c>
      <c r="E84" s="19">
        <v>25788064</v>
      </c>
      <c r="F84" s="30">
        <v>1220000000</v>
      </c>
    </row>
    <row r="85" spans="1:6" x14ac:dyDescent="0.3">
      <c r="A85" s="20" t="s">
        <v>553</v>
      </c>
      <c r="B85" s="21" t="s">
        <v>554</v>
      </c>
      <c r="C85" s="21">
        <v>2.58E-2</v>
      </c>
      <c r="D85" s="21">
        <v>2642277</v>
      </c>
      <c r="E85" s="21">
        <v>25759341</v>
      </c>
      <c r="F85" s="31">
        <v>1000000000</v>
      </c>
    </row>
    <row r="86" spans="1:6" x14ac:dyDescent="0.3">
      <c r="A86" s="18" t="s">
        <v>559</v>
      </c>
      <c r="B86" s="19" t="s">
        <v>560</v>
      </c>
      <c r="C86" s="19">
        <v>0.1085</v>
      </c>
      <c r="D86" s="19">
        <v>64349</v>
      </c>
      <c r="E86" s="19">
        <v>25730460</v>
      </c>
      <c r="F86" s="30">
        <v>236990000</v>
      </c>
    </row>
    <row r="87" spans="1:6" x14ac:dyDescent="0.3">
      <c r="A87" s="20" t="s">
        <v>565</v>
      </c>
      <c r="B87" s="21" t="s">
        <v>566</v>
      </c>
      <c r="C87" s="21">
        <v>9.5600000000000004E-2</v>
      </c>
      <c r="D87" s="21">
        <v>1704625</v>
      </c>
      <c r="E87" s="21">
        <v>25696932</v>
      </c>
      <c r="F87" s="31">
        <v>268880000</v>
      </c>
    </row>
    <row r="88" spans="1:6" x14ac:dyDescent="0.3">
      <c r="A88" s="18" t="s">
        <v>572</v>
      </c>
      <c r="B88" s="19" t="s">
        <v>573</v>
      </c>
      <c r="C88" s="19">
        <v>2.5499999999999998E-2</v>
      </c>
      <c r="D88" s="19">
        <v>5524554</v>
      </c>
      <c r="E88" s="19">
        <v>25507544</v>
      </c>
      <c r="F88" s="30">
        <v>999970000</v>
      </c>
    </row>
    <row r="89" spans="1:6" x14ac:dyDescent="0.3">
      <c r="A89" s="20" t="s">
        <v>578</v>
      </c>
      <c r="B89" s="21" t="s">
        <v>579</v>
      </c>
      <c r="C89" s="21">
        <v>0.85289999999999999</v>
      </c>
      <c r="D89" s="21">
        <v>43405</v>
      </c>
      <c r="E89" s="21">
        <v>25471481</v>
      </c>
      <c r="F89" s="31">
        <v>29860000</v>
      </c>
    </row>
    <row r="90" spans="1:6" x14ac:dyDescent="0.3">
      <c r="A90" s="18" t="s">
        <v>584</v>
      </c>
      <c r="B90" s="19" t="s">
        <v>584</v>
      </c>
      <c r="C90" s="19">
        <v>0.99880000000000002</v>
      </c>
      <c r="D90" s="19">
        <v>228239</v>
      </c>
      <c r="E90" s="19">
        <v>18990853</v>
      </c>
      <c r="F90" s="30">
        <v>19010000</v>
      </c>
    </row>
    <row r="91" spans="1:6" x14ac:dyDescent="0.3">
      <c r="A91" s="20" t="s">
        <v>589</v>
      </c>
      <c r="B91" s="21" t="s">
        <v>590</v>
      </c>
      <c r="C91" s="21">
        <v>3.7900000000000003E-2</v>
      </c>
      <c r="D91" s="21">
        <v>706323</v>
      </c>
      <c r="E91" s="21">
        <v>18961083</v>
      </c>
      <c r="F91" s="31">
        <v>500000000</v>
      </c>
    </row>
    <row r="92" spans="1:6" x14ac:dyDescent="0.3">
      <c r="A92" s="18" t="s">
        <v>595</v>
      </c>
      <c r="B92" s="19" t="s">
        <v>596</v>
      </c>
      <c r="C92" s="19">
        <v>0.02</v>
      </c>
      <c r="D92" s="19">
        <v>357326</v>
      </c>
      <c r="E92" s="19">
        <v>18957669</v>
      </c>
      <c r="F92" s="30">
        <v>946970000</v>
      </c>
    </row>
    <row r="93" spans="1:6" x14ac:dyDescent="0.3">
      <c r="A93" s="20" t="s">
        <v>601</v>
      </c>
      <c r="B93" s="21" t="s">
        <v>602</v>
      </c>
      <c r="C93" s="21">
        <v>8.1699999999999995E-2</v>
      </c>
      <c r="D93" s="21">
        <v>5622803</v>
      </c>
      <c r="E93" s="21">
        <v>18817231</v>
      </c>
      <c r="F93" s="31">
        <v>230250000</v>
      </c>
    </row>
    <row r="94" spans="1:6" x14ac:dyDescent="0.3">
      <c r="A94" s="18" t="s">
        <v>607</v>
      </c>
      <c r="B94" s="19" t="s">
        <v>608</v>
      </c>
      <c r="C94" s="19">
        <v>5.4999999999999997E-3</v>
      </c>
      <c r="D94" s="19">
        <v>181555</v>
      </c>
      <c r="E94" s="19">
        <v>18668308</v>
      </c>
      <c r="F94" s="30">
        <v>3390000000</v>
      </c>
    </row>
    <row r="95" spans="1:6" x14ac:dyDescent="0.3">
      <c r="A95" s="20" t="s">
        <v>614</v>
      </c>
      <c r="B95" s="21" t="s">
        <v>615</v>
      </c>
      <c r="C95" s="21">
        <v>3.8899999999999997E-2</v>
      </c>
      <c r="D95" s="21">
        <v>1002</v>
      </c>
      <c r="E95" s="21">
        <v>18667205</v>
      </c>
      <c r="F95" s="31">
        <v>479990000</v>
      </c>
    </row>
    <row r="96" spans="1:6" x14ac:dyDescent="0.3">
      <c r="A96" s="18" t="s">
        <v>620</v>
      </c>
      <c r="B96" s="19" t="s">
        <v>621</v>
      </c>
      <c r="C96" s="19">
        <v>9.4000000000000004E-3</v>
      </c>
      <c r="D96" s="19">
        <v>189918</v>
      </c>
      <c r="E96" s="19">
        <v>18606007</v>
      </c>
      <c r="F96" s="30">
        <v>1980000000</v>
      </c>
    </row>
    <row r="97" spans="1:6" x14ac:dyDescent="0.3">
      <c r="A97" s="20" t="s">
        <v>626</v>
      </c>
      <c r="B97" s="21" t="s">
        <v>627</v>
      </c>
      <c r="C97" s="21">
        <v>6.6400000000000001E-2</v>
      </c>
      <c r="D97" s="21">
        <v>4765140</v>
      </c>
      <c r="E97" s="21">
        <v>18591856</v>
      </c>
      <c r="F97" s="31">
        <v>280000000</v>
      </c>
    </row>
    <row r="98" spans="1:6" x14ac:dyDescent="0.3">
      <c r="A98" s="18" t="s">
        <v>632</v>
      </c>
      <c r="B98" s="19" t="s">
        <v>633</v>
      </c>
      <c r="C98" s="19">
        <v>2.18E-2</v>
      </c>
      <c r="D98" s="19">
        <v>4492892</v>
      </c>
      <c r="E98" s="19">
        <v>18540898</v>
      </c>
      <c r="F98" s="30">
        <v>850960000</v>
      </c>
    </row>
    <row r="99" spans="1:6" x14ac:dyDescent="0.3">
      <c r="A99" s="20" t="s">
        <v>638</v>
      </c>
      <c r="B99" s="21" t="s">
        <v>639</v>
      </c>
      <c r="C99" s="21">
        <v>16.850000000000001</v>
      </c>
      <c r="D99" s="21">
        <v>119734</v>
      </c>
      <c r="E99" s="21">
        <v>18536240</v>
      </c>
      <c r="F99" s="31">
        <v>1100000</v>
      </c>
    </row>
    <row r="100" spans="1:6" x14ac:dyDescent="0.3">
      <c r="A100" s="18" t="s">
        <v>644</v>
      </c>
      <c r="B100" s="19" t="s">
        <v>645</v>
      </c>
      <c r="C100" s="19">
        <v>0.1108</v>
      </c>
      <c r="D100" s="19">
        <v>32485149</v>
      </c>
      <c r="E100" s="19">
        <v>14785022</v>
      </c>
      <c r="F100" s="30">
        <v>133389999.99999999</v>
      </c>
    </row>
    <row r="101" spans="1:6" x14ac:dyDescent="0.3">
      <c r="A101" s="20" t="s">
        <v>651</v>
      </c>
      <c r="B101" s="21" t="s">
        <v>651</v>
      </c>
      <c r="C101" s="21">
        <v>7.0000000000000001E-3</v>
      </c>
      <c r="D101" s="21">
        <v>138</v>
      </c>
      <c r="E101" s="21">
        <v>14719301</v>
      </c>
      <c r="F101" s="31">
        <v>2089999999.9999998</v>
      </c>
    </row>
    <row r="102" spans="1:6" x14ac:dyDescent="0.3">
      <c r="A102" s="18" t="s">
        <v>657</v>
      </c>
      <c r="B102" s="19" t="s">
        <v>658</v>
      </c>
      <c r="C102" s="19">
        <v>4.0000000000000002E-4</v>
      </c>
      <c r="D102" s="19">
        <v>499518</v>
      </c>
      <c r="E102" s="19">
        <v>14681529</v>
      </c>
      <c r="F102" s="30">
        <v>40640000000</v>
      </c>
    </row>
    <row r="103" spans="1:6" x14ac:dyDescent="0.3">
      <c r="A103" s="20" t="s">
        <v>663</v>
      </c>
      <c r="B103" s="21" t="s">
        <v>664</v>
      </c>
      <c r="C103" s="21">
        <v>2.0000000000000001E-4</v>
      </c>
      <c r="D103" s="21">
        <v>6112676</v>
      </c>
      <c r="E103" s="21">
        <v>14616635</v>
      </c>
      <c r="F103" s="31">
        <v>69000000000</v>
      </c>
    </row>
    <row r="104" spans="1:6" x14ac:dyDescent="0.3">
      <c r="A104" s="18" t="s">
        <v>669</v>
      </c>
      <c r="B104" s="19" t="s">
        <v>670</v>
      </c>
      <c r="C104" s="19">
        <v>3.32E-2</v>
      </c>
      <c r="D104" s="19">
        <v>4251361</v>
      </c>
      <c r="E104" s="19">
        <v>14606826</v>
      </c>
      <c r="F104" s="30">
        <v>439650000</v>
      </c>
    </row>
    <row r="105" spans="1:6" x14ac:dyDescent="0.3">
      <c r="A105" s="20" t="s">
        <v>675</v>
      </c>
      <c r="B105" s="21" t="s">
        <v>676</v>
      </c>
      <c r="C105" s="21">
        <v>2.9899999999999999E-2</v>
      </c>
      <c r="D105" s="21">
        <v>316134</v>
      </c>
      <c r="E105" s="21">
        <v>14570562</v>
      </c>
      <c r="F105" s="31">
        <v>487690000</v>
      </c>
    </row>
    <row r="106" spans="1:6" x14ac:dyDescent="0.3">
      <c r="A106" s="18" t="s">
        <v>681</v>
      </c>
      <c r="B106" s="19" t="s">
        <v>682</v>
      </c>
      <c r="C106" s="19">
        <v>7.1599999999999997E-2</v>
      </c>
      <c r="D106" s="19">
        <v>542805</v>
      </c>
      <c r="E106" s="19">
        <v>14516193</v>
      </c>
      <c r="F106" s="30">
        <v>899590000000000</v>
      </c>
    </row>
    <row r="107" spans="1:6" x14ac:dyDescent="0.3">
      <c r="A107" s="20" t="s">
        <v>688</v>
      </c>
      <c r="B107" s="21" t="s">
        <v>689</v>
      </c>
      <c r="C107" s="21">
        <v>1.44E-2</v>
      </c>
      <c r="D107" s="21">
        <v>1406872</v>
      </c>
      <c r="E107" s="21">
        <v>14440722</v>
      </c>
      <c r="F107" s="31">
        <v>999990000</v>
      </c>
    </row>
    <row r="108" spans="1:6" x14ac:dyDescent="0.3">
      <c r="A108" s="18" t="s">
        <v>693</v>
      </c>
      <c r="B108" s="19" t="s">
        <v>694</v>
      </c>
      <c r="C108" s="19">
        <v>0.1963</v>
      </c>
      <c r="D108" s="19">
        <v>686075</v>
      </c>
      <c r="E108" s="19">
        <v>14425837</v>
      </c>
      <c r="F108" s="30">
        <v>73460000</v>
      </c>
    </row>
    <row r="109" spans="1:6" x14ac:dyDescent="0.3">
      <c r="A109" s="20" t="s">
        <v>700</v>
      </c>
      <c r="B109" s="21" t="s">
        <v>701</v>
      </c>
      <c r="C109" s="21">
        <v>1.4800000000000001E-2</v>
      </c>
      <c r="D109" s="21">
        <v>34241</v>
      </c>
      <c r="E109" s="21">
        <v>14389863</v>
      </c>
      <c r="F109" s="31">
        <v>969990000</v>
      </c>
    </row>
    <row r="110" spans="1:6" x14ac:dyDescent="0.3">
      <c r="A110" s="18" t="s">
        <v>706</v>
      </c>
      <c r="B110" s="19" t="s">
        <v>707</v>
      </c>
      <c r="C110" s="19">
        <v>4.2999999999999997E-2</v>
      </c>
      <c r="D110" s="19">
        <v>810252</v>
      </c>
      <c r="E110" s="19">
        <v>11345859</v>
      </c>
      <c r="F110" s="30">
        <v>263730000.00000003</v>
      </c>
    </row>
    <row r="111" spans="1:6" x14ac:dyDescent="0.3">
      <c r="A111" s="20" t="s">
        <v>713</v>
      </c>
      <c r="B111" s="21" t="s">
        <v>714</v>
      </c>
      <c r="C111" s="21">
        <v>1.6899999999999998E-2</v>
      </c>
      <c r="D111" s="21">
        <v>8799764</v>
      </c>
      <c r="E111" s="21">
        <v>11304052</v>
      </c>
      <c r="F111" s="31">
        <v>670180000</v>
      </c>
    </row>
    <row r="112" spans="1:6" x14ac:dyDescent="0.3">
      <c r="A112" s="18" t="s">
        <v>720</v>
      </c>
      <c r="B112" s="19" t="s">
        <v>721</v>
      </c>
      <c r="C112" s="19">
        <v>5.6399999999999999E-2</v>
      </c>
      <c r="D112" s="19">
        <v>6405267</v>
      </c>
      <c r="E112" s="19">
        <v>11274163</v>
      </c>
      <c r="F112" s="30">
        <v>200000000</v>
      </c>
    </row>
    <row r="113" spans="1:6" x14ac:dyDescent="0.3">
      <c r="A113" s="20" t="s">
        <v>726</v>
      </c>
      <c r="B113" s="21" t="s">
        <v>727</v>
      </c>
      <c r="C113" s="21">
        <v>0.32490000000000002</v>
      </c>
      <c r="D113" s="21">
        <v>25910</v>
      </c>
      <c r="E113" s="21">
        <v>11243721</v>
      </c>
      <c r="F113" s="31">
        <v>34590000</v>
      </c>
    </row>
    <row r="114" spans="1:6" x14ac:dyDescent="0.3">
      <c r="A114" s="18" t="s">
        <v>732</v>
      </c>
      <c r="B114" s="19" t="s">
        <v>733</v>
      </c>
      <c r="C114" s="19">
        <v>0.18329999999999999</v>
      </c>
      <c r="D114" s="19">
        <v>95241</v>
      </c>
      <c r="E114" s="19">
        <v>11181505</v>
      </c>
      <c r="F114" s="30">
        <v>60970000</v>
      </c>
    </row>
    <row r="115" spans="1:6" x14ac:dyDescent="0.3">
      <c r="A115" s="20" t="s">
        <v>739</v>
      </c>
      <c r="B115" s="21" t="s">
        <v>739</v>
      </c>
      <c r="C115" s="21">
        <v>1.24E-2</v>
      </c>
      <c r="D115" s="21">
        <v>1157910</v>
      </c>
      <c r="E115" s="21">
        <v>11184297</v>
      </c>
      <c r="F115" s="31">
        <v>899840000</v>
      </c>
    </row>
    <row r="116" spans="1:6" x14ac:dyDescent="0.3">
      <c r="A116" s="18" t="s">
        <v>745</v>
      </c>
      <c r="B116" s="19" t="s">
        <v>746</v>
      </c>
      <c r="C116" s="19">
        <v>4.1999999999999997E-3</v>
      </c>
      <c r="D116" s="19">
        <v>19472</v>
      </c>
      <c r="E116" s="19">
        <v>11144288</v>
      </c>
      <c r="F116" s="30">
        <v>2620000000</v>
      </c>
    </row>
    <row r="117" spans="1:6" x14ac:dyDescent="0.3">
      <c r="A117" s="20" t="s">
        <v>752</v>
      </c>
      <c r="B117" s="21" t="s">
        <v>753</v>
      </c>
      <c r="C117" s="21">
        <v>7.4499999999999997E-2</v>
      </c>
      <c r="D117" s="21">
        <v>233918</v>
      </c>
      <c r="E117" s="21">
        <v>11155057</v>
      </c>
      <c r="F117" s="31">
        <v>247730000000000</v>
      </c>
    </row>
    <row r="118" spans="1:6" x14ac:dyDescent="0.3">
      <c r="A118" s="18" t="s">
        <v>759</v>
      </c>
      <c r="B118" s="19" t="s">
        <v>760</v>
      </c>
      <c r="C118" s="19">
        <v>0.21590000000000001</v>
      </c>
      <c r="D118" s="19">
        <v>105278</v>
      </c>
      <c r="E118" s="19">
        <v>11101030</v>
      </c>
      <c r="F118" s="30">
        <v>51390000</v>
      </c>
    </row>
    <row r="119" spans="1:6" x14ac:dyDescent="0.3">
      <c r="A119" s="20" t="s">
        <v>765</v>
      </c>
      <c r="B119" s="21" t="s">
        <v>766</v>
      </c>
      <c r="C119" s="21">
        <v>5.0000000000000001E-4</v>
      </c>
      <c r="D119" s="21">
        <v>8599503</v>
      </c>
      <c r="E119" s="21">
        <v>11082865</v>
      </c>
      <c r="F119" s="31">
        <v>22790000000</v>
      </c>
    </row>
    <row r="120" spans="1:6" x14ac:dyDescent="0.3">
      <c r="A120" s="18" t="s">
        <v>771</v>
      </c>
      <c r="B120" s="19" t="s">
        <v>772</v>
      </c>
      <c r="C120" s="19">
        <v>0.99929999999999997</v>
      </c>
      <c r="D120" s="19">
        <v>50214459</v>
      </c>
      <c r="E120" s="19">
        <v>8799631</v>
      </c>
      <c r="F120" s="30">
        <v>8800000</v>
      </c>
    </row>
    <row r="121" spans="1:6" x14ac:dyDescent="0.3">
      <c r="A121" s="20" t="s">
        <v>777</v>
      </c>
      <c r="B121" s="21" t="s">
        <v>778</v>
      </c>
      <c r="C121" s="21">
        <v>3.38</v>
      </c>
      <c r="D121" s="21">
        <v>10</v>
      </c>
      <c r="E121" s="21">
        <v>8770979</v>
      </c>
      <c r="F121" s="31">
        <v>2590000</v>
      </c>
    </row>
    <row r="122" spans="1:6" x14ac:dyDescent="0.3">
      <c r="A122" s="18" t="s">
        <v>783</v>
      </c>
      <c r="B122" s="19" t="s">
        <v>784</v>
      </c>
      <c r="C122" s="19">
        <v>0.89400000000000002</v>
      </c>
      <c r="D122" s="19">
        <v>1784357</v>
      </c>
      <c r="E122" s="19">
        <v>8762689</v>
      </c>
      <c r="F122" s="30">
        <v>9800000</v>
      </c>
    </row>
    <row r="123" spans="1:6" x14ac:dyDescent="0.3">
      <c r="A123" s="20" t="s">
        <v>789</v>
      </c>
      <c r="B123" s="21" t="s">
        <v>790</v>
      </c>
      <c r="C123" s="21">
        <v>8.8000000000000005E-3</v>
      </c>
      <c r="D123" s="21">
        <v>1018996</v>
      </c>
      <c r="E123" s="21">
        <v>8757334</v>
      </c>
      <c r="F123" s="31">
        <v>990280000</v>
      </c>
    </row>
    <row r="124" spans="1:6" x14ac:dyDescent="0.3">
      <c r="A124" s="18" t="s">
        <v>796</v>
      </c>
      <c r="B124" s="19" t="s">
        <v>797</v>
      </c>
      <c r="C124" s="19">
        <v>3.6299999999999999E-2</v>
      </c>
      <c r="D124" s="19">
        <v>849245</v>
      </c>
      <c r="E124" s="19">
        <v>8738652</v>
      </c>
      <c r="F124" s="30">
        <v>240600000</v>
      </c>
    </row>
    <row r="125" spans="1:6" x14ac:dyDescent="0.3">
      <c r="A125" s="20" t="s">
        <v>802</v>
      </c>
      <c r="B125" s="21" t="s">
        <v>803</v>
      </c>
      <c r="C125" s="21">
        <v>4.5600000000000002E-2</v>
      </c>
      <c r="D125" s="21">
        <v>31161</v>
      </c>
      <c r="E125" s="21">
        <v>8732769</v>
      </c>
      <c r="F125" s="31">
        <v>191310000</v>
      </c>
    </row>
    <row r="126" spans="1:6" x14ac:dyDescent="0.3">
      <c r="A126" s="18" t="s">
        <v>808</v>
      </c>
      <c r="B126" s="19" t="s">
        <v>809</v>
      </c>
      <c r="C126" s="19">
        <v>8.7099999999999997E-2</v>
      </c>
      <c r="D126" s="19">
        <v>260752</v>
      </c>
      <c r="E126" s="19">
        <v>8712671</v>
      </c>
      <c r="F126" s="30">
        <v>99990000</v>
      </c>
    </row>
    <row r="127" spans="1:6" x14ac:dyDescent="0.3">
      <c r="A127" s="20" t="s">
        <v>815</v>
      </c>
      <c r="B127" s="21" t="s">
        <v>816</v>
      </c>
      <c r="C127" s="21">
        <v>3.95E-2</v>
      </c>
      <c r="D127" s="21">
        <v>7734230</v>
      </c>
      <c r="E127" s="21">
        <v>8699473</v>
      </c>
      <c r="F127" s="31">
        <v>220100000</v>
      </c>
    </row>
    <row r="128" spans="1:6" x14ac:dyDescent="0.3">
      <c r="A128" s="18" t="s">
        <v>821</v>
      </c>
      <c r="B128" s="19" t="s">
        <v>822</v>
      </c>
      <c r="C128" s="19">
        <v>9.8699999999999996E-2</v>
      </c>
      <c r="D128" s="19">
        <v>229548</v>
      </c>
      <c r="E128" s="19">
        <v>8669853</v>
      </c>
      <c r="F128" s="30">
        <v>87820000</v>
      </c>
    </row>
    <row r="129" spans="1:6" x14ac:dyDescent="0.3">
      <c r="A129" s="20" t="s">
        <v>827</v>
      </c>
      <c r="B129" s="21" t="s">
        <v>828</v>
      </c>
      <c r="C129" s="21">
        <v>0.29120000000000001</v>
      </c>
      <c r="D129" s="21">
        <v>65907</v>
      </c>
      <c r="E129" s="21">
        <v>8662826</v>
      </c>
      <c r="F129" s="31">
        <v>29740000</v>
      </c>
    </row>
    <row r="130" spans="1:6" x14ac:dyDescent="0.3">
      <c r="A130" s="18" t="s">
        <v>842</v>
      </c>
      <c r="B130" s="19" t="s">
        <v>843</v>
      </c>
      <c r="C130" s="19">
        <v>3.4700000000000002E-2</v>
      </c>
      <c r="D130" s="19">
        <v>146941</v>
      </c>
      <c r="E130" s="19">
        <v>6977656</v>
      </c>
      <c r="F130" s="30">
        <v>201120000</v>
      </c>
    </row>
    <row r="131" spans="1:6" x14ac:dyDescent="0.3">
      <c r="A131" s="20" t="s">
        <v>848</v>
      </c>
      <c r="B131" s="21" t="s">
        <v>849</v>
      </c>
      <c r="C131" s="21">
        <v>1.9300000000000001E-2</v>
      </c>
      <c r="D131" s="21">
        <v>6780</v>
      </c>
      <c r="E131" s="21">
        <v>6955385</v>
      </c>
      <c r="F131" s="31">
        <v>359590000</v>
      </c>
    </row>
    <row r="132" spans="1:6" x14ac:dyDescent="0.3">
      <c r="A132" s="18" t="s">
        <v>859</v>
      </c>
      <c r="B132" s="19" t="s">
        <v>860</v>
      </c>
      <c r="C132" s="19">
        <v>1.38</v>
      </c>
      <c r="D132" s="19">
        <v>425962</v>
      </c>
      <c r="E132" s="19">
        <v>6916559</v>
      </c>
      <c r="F132" s="30">
        <v>4990000</v>
      </c>
    </row>
    <row r="133" spans="1:6" x14ac:dyDescent="0.3">
      <c r="A133" s="20" t="s">
        <v>866</v>
      </c>
      <c r="B133" s="21" t="s">
        <v>867</v>
      </c>
      <c r="C133" s="21">
        <v>2.9999999999999997E-4</v>
      </c>
      <c r="D133" s="21">
        <v>87808</v>
      </c>
      <c r="E133" s="21">
        <v>6910668</v>
      </c>
      <c r="F133" s="31">
        <v>23060000000</v>
      </c>
    </row>
    <row r="134" spans="1:6" x14ac:dyDescent="0.3">
      <c r="A134" s="18" t="s">
        <v>872</v>
      </c>
      <c r="B134" s="19" t="s">
        <v>873</v>
      </c>
      <c r="C134" s="19">
        <v>1E-3</v>
      </c>
      <c r="D134" s="19">
        <v>187469</v>
      </c>
      <c r="E134" s="19">
        <v>6901123</v>
      </c>
      <c r="F134" s="30">
        <v>6930000000</v>
      </c>
    </row>
    <row r="135" spans="1:6" x14ac:dyDescent="0.3">
      <c r="A135" s="20" t="s">
        <v>878</v>
      </c>
      <c r="B135" s="21" t="s">
        <v>878</v>
      </c>
      <c r="C135" s="21">
        <v>0.13519999999999999</v>
      </c>
      <c r="D135" s="21">
        <v>340331</v>
      </c>
      <c r="E135" s="21">
        <v>6897513</v>
      </c>
      <c r="F135" s="31">
        <v>50990000</v>
      </c>
    </row>
    <row r="136" spans="1:6" x14ac:dyDescent="0.3">
      <c r="A136" s="18" t="s">
        <v>884</v>
      </c>
      <c r="B136" s="19" t="s">
        <v>885</v>
      </c>
      <c r="C136" s="19">
        <v>4.8999999999999998E-3</v>
      </c>
      <c r="D136" s="19">
        <v>321408</v>
      </c>
      <c r="E136" s="19">
        <v>6894766</v>
      </c>
      <c r="F136" s="30">
        <v>1400000000</v>
      </c>
    </row>
    <row r="137" spans="1:6" x14ac:dyDescent="0.3">
      <c r="A137" s="20" t="s">
        <v>890</v>
      </c>
      <c r="B137" s="21" t="s">
        <v>891</v>
      </c>
      <c r="C137" s="21">
        <v>6.0499999999999998E-2</v>
      </c>
      <c r="D137" s="21">
        <v>4164781</v>
      </c>
      <c r="E137" s="21">
        <v>5328756</v>
      </c>
      <c r="F137" s="31">
        <v>88030000</v>
      </c>
    </row>
    <row r="138" spans="1:6" x14ac:dyDescent="0.3">
      <c r="A138" s="18" t="s">
        <v>896</v>
      </c>
      <c r="B138" s="19" t="s">
        <v>897</v>
      </c>
      <c r="C138" s="19">
        <v>0.26100000000000001</v>
      </c>
      <c r="D138" s="19">
        <v>3754649</v>
      </c>
      <c r="E138" s="19">
        <v>5322203</v>
      </c>
      <c r="F138" s="30">
        <v>20380000</v>
      </c>
    </row>
    <row r="139" spans="1:6" x14ac:dyDescent="0.3">
      <c r="A139" s="20" t="s">
        <v>902</v>
      </c>
      <c r="B139" s="21" t="s">
        <v>903</v>
      </c>
      <c r="C139" s="21">
        <v>5.8999999999999999E-3</v>
      </c>
      <c r="D139" s="21">
        <v>59834</v>
      </c>
      <c r="E139" s="21">
        <v>5321075</v>
      </c>
      <c r="F139" s="31">
        <v>905300000</v>
      </c>
    </row>
    <row r="140" spans="1:6" x14ac:dyDescent="0.3">
      <c r="A140" s="18" t="s">
        <v>908</v>
      </c>
      <c r="B140" s="19" t="s">
        <v>909</v>
      </c>
      <c r="C140" s="19">
        <v>1.12E-2</v>
      </c>
      <c r="D140" s="19">
        <v>30255</v>
      </c>
      <c r="E140" s="19">
        <v>5289262</v>
      </c>
      <c r="F140" s="30">
        <v>471000000</v>
      </c>
    </row>
    <row r="141" spans="1:6" x14ac:dyDescent="0.3">
      <c r="A141" s="20" t="s">
        <v>915</v>
      </c>
      <c r="B141" s="21" t="s">
        <v>916</v>
      </c>
      <c r="C141" s="21">
        <v>5.79E-2</v>
      </c>
      <c r="D141" s="21">
        <v>1013267</v>
      </c>
      <c r="E141" s="21">
        <v>5279826</v>
      </c>
      <c r="F141" s="31">
        <v>91220000</v>
      </c>
    </row>
    <row r="142" spans="1:6" x14ac:dyDescent="0.3">
      <c r="A142" s="18" t="s">
        <v>921</v>
      </c>
      <c r="B142" s="19" t="s">
        <v>921</v>
      </c>
      <c r="C142" s="19">
        <v>6.9500000000000006E-2</v>
      </c>
      <c r="D142" s="19">
        <v>846710</v>
      </c>
      <c r="E142" s="19">
        <v>5273359</v>
      </c>
      <c r="F142" s="30">
        <v>75910000</v>
      </c>
    </row>
    <row r="143" spans="1:6" x14ac:dyDescent="0.3">
      <c r="A143" s="20" t="s">
        <v>926</v>
      </c>
      <c r="B143" s="21" t="s">
        <v>927</v>
      </c>
      <c r="C143" s="21">
        <v>9.06</v>
      </c>
      <c r="D143" s="21">
        <v>27503</v>
      </c>
      <c r="E143" s="21">
        <v>5254151</v>
      </c>
      <c r="F143" s="31">
        <v>579840</v>
      </c>
    </row>
    <row r="144" spans="1:6" x14ac:dyDescent="0.3">
      <c r="A144" s="18" t="s">
        <v>932</v>
      </c>
      <c r="B144" s="19" t="s">
        <v>933</v>
      </c>
      <c r="C144" s="19">
        <v>0.30370000000000003</v>
      </c>
      <c r="D144" s="19">
        <v>64548</v>
      </c>
      <c r="E144" s="19">
        <v>5249160</v>
      </c>
      <c r="F144" s="30">
        <v>17270000</v>
      </c>
    </row>
    <row r="145" spans="1:6" x14ac:dyDescent="0.3">
      <c r="A145" s="20" t="s">
        <v>938</v>
      </c>
      <c r="B145" s="21" t="s">
        <v>939</v>
      </c>
      <c r="C145" s="21">
        <v>5.1999999999999998E-3</v>
      </c>
      <c r="D145" s="21">
        <v>2582102</v>
      </c>
      <c r="E145" s="21">
        <v>5236511</v>
      </c>
      <c r="F145" s="31">
        <v>999680000</v>
      </c>
    </row>
    <row r="146" spans="1:6" x14ac:dyDescent="0.3">
      <c r="A146" s="18" t="s">
        <v>945</v>
      </c>
      <c r="B146" s="19" t="s">
        <v>946</v>
      </c>
      <c r="C146" s="19">
        <v>2.4400000000000002E-2</v>
      </c>
      <c r="D146" s="19">
        <v>289972</v>
      </c>
      <c r="E146" s="19">
        <v>5209385</v>
      </c>
      <c r="F146" s="30">
        <v>213090000</v>
      </c>
    </row>
    <row r="147" spans="1:6" x14ac:dyDescent="0.3">
      <c r="A147" s="20" t="s">
        <v>951</v>
      </c>
      <c r="B147" s="21" t="s">
        <v>952</v>
      </c>
      <c r="C147" s="21">
        <v>8.4400000000000003E-2</v>
      </c>
      <c r="D147" s="21">
        <v>369327</v>
      </c>
      <c r="E147" s="21">
        <v>4203318</v>
      </c>
      <c r="F147" s="31">
        <v>960420000000000</v>
      </c>
    </row>
    <row r="148" spans="1:6" x14ac:dyDescent="0.3">
      <c r="A148" s="18" t="s">
        <v>968</v>
      </c>
      <c r="B148" s="19" t="s">
        <v>969</v>
      </c>
      <c r="C148" s="19">
        <v>6.9999999999999999E-4</v>
      </c>
      <c r="D148" s="19">
        <v>10230683</v>
      </c>
      <c r="E148" s="19">
        <v>4174785</v>
      </c>
      <c r="F148" s="30">
        <v>6000000000</v>
      </c>
    </row>
    <row r="149" spans="1:6" x14ac:dyDescent="0.3">
      <c r="A149" s="20" t="s">
        <v>975</v>
      </c>
      <c r="B149" s="21" t="s">
        <v>976</v>
      </c>
      <c r="C149" s="21">
        <v>2.76E-2</v>
      </c>
      <c r="D149" s="21">
        <v>96917</v>
      </c>
      <c r="E149" s="21">
        <v>4163952</v>
      </c>
      <c r="F149" s="31">
        <v>150750000</v>
      </c>
    </row>
    <row r="150" spans="1:6" x14ac:dyDescent="0.3">
      <c r="A150" s="18" t="s">
        <v>981</v>
      </c>
      <c r="B150" s="19" t="s">
        <v>982</v>
      </c>
      <c r="C150" s="19">
        <v>3.8999999999999998E-3</v>
      </c>
      <c r="D150" s="19">
        <v>8766</v>
      </c>
      <c r="E150" s="19">
        <v>4148747</v>
      </c>
      <c r="F150" s="30">
        <v>1050000000</v>
      </c>
    </row>
    <row r="151" spans="1:6" x14ac:dyDescent="0.3">
      <c r="A151" s="20" t="s">
        <v>991</v>
      </c>
      <c r="B151" s="21" t="s">
        <v>992</v>
      </c>
      <c r="C151" s="21">
        <v>0.20660000000000001</v>
      </c>
      <c r="D151" s="21">
        <v>106213</v>
      </c>
      <c r="E151" s="21">
        <v>4140168</v>
      </c>
      <c r="F151" s="31">
        <v>20030000</v>
      </c>
    </row>
    <row r="152" spans="1:6" x14ac:dyDescent="0.3">
      <c r="A152" s="18" t="s">
        <v>998</v>
      </c>
      <c r="B152" s="19" t="s">
        <v>999</v>
      </c>
      <c r="C152" s="19">
        <v>8.9999999999999998E-4</v>
      </c>
      <c r="D152" s="19">
        <v>847</v>
      </c>
      <c r="E152" s="19">
        <v>4138839</v>
      </c>
      <c r="F152" s="30">
        <v>4370000000</v>
      </c>
    </row>
    <row r="153" spans="1:6" x14ac:dyDescent="0.3">
      <c r="A153" s="20" t="s">
        <v>1004</v>
      </c>
      <c r="B153" s="21" t="s">
        <v>1005</v>
      </c>
      <c r="C153" s="21">
        <v>8.0000000000000004E-4</v>
      </c>
      <c r="D153" s="21">
        <v>355240</v>
      </c>
      <c r="E153" s="21">
        <v>4130541</v>
      </c>
      <c r="F153" s="31">
        <v>5000000000</v>
      </c>
    </row>
    <row r="154" spans="1:6" x14ac:dyDescent="0.3">
      <c r="A154" s="18" t="s">
        <v>1015</v>
      </c>
      <c r="B154" s="19" t="s">
        <v>1016</v>
      </c>
      <c r="C154" s="19">
        <v>0.16200000000000001</v>
      </c>
      <c r="D154" s="19">
        <v>331094</v>
      </c>
      <c r="E154" s="19">
        <v>3346569</v>
      </c>
      <c r="F154" s="30">
        <v>20640000</v>
      </c>
    </row>
    <row r="155" spans="1:6" x14ac:dyDescent="0.3">
      <c r="A155" s="20" t="s">
        <v>1022</v>
      </c>
      <c r="B155" s="21" t="s">
        <v>1023</v>
      </c>
      <c r="C155" s="21">
        <v>1.1999999999999999E-3</v>
      </c>
      <c r="D155" s="21">
        <v>18420</v>
      </c>
      <c r="E155" s="21">
        <v>3339357</v>
      </c>
      <c r="F155" s="31">
        <v>2690000000</v>
      </c>
    </row>
    <row r="156" spans="1:6" x14ac:dyDescent="0.3">
      <c r="A156" s="18" t="s">
        <v>1029</v>
      </c>
      <c r="B156" s="19" t="s">
        <v>1029</v>
      </c>
      <c r="C156" s="19">
        <v>4.0000000000000002E-4</v>
      </c>
      <c r="D156" s="19">
        <v>1613699</v>
      </c>
      <c r="E156" s="19">
        <v>3333341</v>
      </c>
      <c r="F156" s="30">
        <v>8289999999.999999</v>
      </c>
    </row>
    <row r="157" spans="1:6" x14ac:dyDescent="0.3">
      <c r="A157" s="20" t="s">
        <v>1035</v>
      </c>
      <c r="B157" s="21" t="s">
        <v>1036</v>
      </c>
      <c r="C157" s="21">
        <v>5.3999999999999999E-2</v>
      </c>
      <c r="D157" s="21">
        <v>875780</v>
      </c>
      <c r="E157" s="21">
        <v>3321989</v>
      </c>
      <c r="F157" s="31">
        <v>61460000</v>
      </c>
    </row>
    <row r="158" spans="1:6" x14ac:dyDescent="0.3">
      <c r="A158" s="18" t="s">
        <v>1041</v>
      </c>
      <c r="B158" s="19" t="s">
        <v>1042</v>
      </c>
      <c r="C158" s="19">
        <v>1.32E-2</v>
      </c>
      <c r="D158" s="19">
        <v>2394175</v>
      </c>
      <c r="E158" s="19">
        <v>3318891</v>
      </c>
      <c r="F158" s="30">
        <v>251340000</v>
      </c>
    </row>
    <row r="159" spans="1:6" x14ac:dyDescent="0.3">
      <c r="A159" s="20" t="s">
        <v>1048</v>
      </c>
      <c r="B159" s="21" t="s">
        <v>1049</v>
      </c>
      <c r="C159" s="21">
        <v>4.1999999999999997E-3</v>
      </c>
      <c r="D159" s="21">
        <v>95553</v>
      </c>
      <c r="E159" s="21">
        <v>3316153</v>
      </c>
      <c r="F159" s="31">
        <v>787400000</v>
      </c>
    </row>
    <row r="160" spans="1:6" x14ac:dyDescent="0.3">
      <c r="A160" s="18" t="s">
        <v>1054</v>
      </c>
      <c r="B160" s="19" t="s">
        <v>1055</v>
      </c>
      <c r="C160" s="19">
        <v>3.6499999999999998E-2</v>
      </c>
      <c r="D160" s="19">
        <v>1991360</v>
      </c>
      <c r="E160" s="19">
        <v>3296073</v>
      </c>
      <c r="F160" s="30">
        <v>90230000</v>
      </c>
    </row>
    <row r="161" spans="1:6" x14ac:dyDescent="0.3">
      <c r="A161" s="20" t="s">
        <v>1061</v>
      </c>
      <c r="B161" s="21" t="s">
        <v>1062</v>
      </c>
      <c r="C161" s="21">
        <v>2.9999999999999997E-4</v>
      </c>
      <c r="D161" s="21">
        <v>19915</v>
      </c>
      <c r="E161" s="21">
        <v>3290369</v>
      </c>
      <c r="F161" s="31">
        <v>10000000000</v>
      </c>
    </row>
    <row r="162" spans="1:6" x14ac:dyDescent="0.3">
      <c r="A162" s="18" t="s">
        <v>1067</v>
      </c>
      <c r="B162" s="19" t="s">
        <v>1068</v>
      </c>
      <c r="C162" s="19">
        <v>3.7000000000000002E-3</v>
      </c>
      <c r="D162" s="19">
        <v>123380</v>
      </c>
      <c r="E162" s="19">
        <v>3283841</v>
      </c>
      <c r="F162" s="30">
        <v>888880000</v>
      </c>
    </row>
    <row r="163" spans="1:6" x14ac:dyDescent="0.3">
      <c r="A163" s="20" t="s">
        <v>1074</v>
      </c>
      <c r="B163" s="21" t="s">
        <v>1075</v>
      </c>
      <c r="C163" s="21">
        <v>5.0000000000000001E-3</v>
      </c>
      <c r="D163" s="21">
        <v>492884</v>
      </c>
      <c r="E163" s="21">
        <v>2780822</v>
      </c>
      <c r="F163" s="31">
        <v>553850000</v>
      </c>
    </row>
    <row r="164" spans="1:6" x14ac:dyDescent="0.3">
      <c r="A164" s="18" t="s">
        <v>1081</v>
      </c>
      <c r="B164" s="19" t="s">
        <v>1082</v>
      </c>
      <c r="C164" s="19">
        <v>3.5000000000000001E-3</v>
      </c>
      <c r="D164" s="19">
        <v>78498</v>
      </c>
      <c r="E164" s="19">
        <v>2775444</v>
      </c>
      <c r="F164" s="30">
        <v>787000000</v>
      </c>
    </row>
    <row r="165" spans="1:6" x14ac:dyDescent="0.3">
      <c r="A165" s="20" t="s">
        <v>1091</v>
      </c>
      <c r="B165" s="21" t="s">
        <v>1092</v>
      </c>
      <c r="C165" s="21">
        <v>5.7000000000000002E-3</v>
      </c>
      <c r="D165" s="21">
        <v>248901</v>
      </c>
      <c r="E165" s="21">
        <v>2752249</v>
      </c>
      <c r="F165" s="31">
        <v>483880000</v>
      </c>
    </row>
    <row r="166" spans="1:6" x14ac:dyDescent="0.3">
      <c r="A166" s="18" t="s">
        <v>1097</v>
      </c>
      <c r="B166" s="19" t="s">
        <v>1098</v>
      </c>
      <c r="C166" s="19">
        <v>2.63</v>
      </c>
      <c r="D166" s="19">
        <v>650212</v>
      </c>
      <c r="E166" s="19">
        <v>2740226</v>
      </c>
      <c r="F166" s="30">
        <v>1040000</v>
      </c>
    </row>
    <row r="167" spans="1:6" x14ac:dyDescent="0.3">
      <c r="A167" s="20" t="s">
        <v>1104</v>
      </c>
      <c r="B167" s="21" t="s">
        <v>1105</v>
      </c>
      <c r="C167" s="21">
        <v>7.22E-2</v>
      </c>
      <c r="D167" s="21">
        <v>225992</v>
      </c>
      <c r="E167" s="21">
        <v>2725328</v>
      </c>
      <c r="F167" s="31">
        <v>37720000</v>
      </c>
    </row>
    <row r="168" spans="1:6" x14ac:dyDescent="0.3">
      <c r="A168" s="18" t="s">
        <v>1110</v>
      </c>
      <c r="B168" s="19" t="s">
        <v>1111</v>
      </c>
      <c r="C168" s="19">
        <v>2.7000000000000001E-3</v>
      </c>
      <c r="D168" s="19">
        <v>9317</v>
      </c>
      <c r="E168" s="19">
        <v>2721575</v>
      </c>
      <c r="F168" s="30">
        <v>993500000</v>
      </c>
    </row>
    <row r="169" spans="1:6" x14ac:dyDescent="0.3">
      <c r="A169" s="20" t="s">
        <v>1116</v>
      </c>
      <c r="B169" s="21" t="s">
        <v>1117</v>
      </c>
      <c r="C169" s="21">
        <v>0.33800000000000002</v>
      </c>
      <c r="D169" s="21">
        <v>93501</v>
      </c>
      <c r="E169" s="21">
        <v>2718841</v>
      </c>
      <c r="F169" s="31">
        <v>8039999.9999999991</v>
      </c>
    </row>
    <row r="170" spans="1:6" x14ac:dyDescent="0.3">
      <c r="A170" s="18" t="s">
        <v>1123</v>
      </c>
      <c r="B170" s="19" t="s">
        <v>1124</v>
      </c>
      <c r="C170" s="19">
        <v>8.8499999999999995E-2</v>
      </c>
      <c r="D170" s="19">
        <v>86410</v>
      </c>
      <c r="E170" s="19">
        <v>2717949</v>
      </c>
      <c r="F170" s="30">
        <v>320720000000000</v>
      </c>
    </row>
    <row r="171" spans="1:6" x14ac:dyDescent="0.3">
      <c r="A171" s="20" t="s">
        <v>1129</v>
      </c>
      <c r="B171" s="21" t="s">
        <v>1130</v>
      </c>
      <c r="C171" s="21">
        <v>1.7899999999999999E-2</v>
      </c>
      <c r="D171" s="21">
        <v>475091</v>
      </c>
      <c r="E171" s="21">
        <v>2715332</v>
      </c>
      <c r="F171" s="31">
        <v>151660000</v>
      </c>
    </row>
    <row r="172" spans="1:6" x14ac:dyDescent="0.3">
      <c r="A172" s="18" t="s">
        <v>1136</v>
      </c>
      <c r="B172" s="19" t="s">
        <v>1137</v>
      </c>
      <c r="C172" s="19">
        <v>5.5399999999999998E-2</v>
      </c>
      <c r="D172" s="19">
        <v>537558</v>
      </c>
      <c r="E172" s="19">
        <v>2203902</v>
      </c>
      <c r="F172" s="30">
        <v>409500000000</v>
      </c>
    </row>
    <row r="173" spans="1:6" x14ac:dyDescent="0.3">
      <c r="A173" s="20" t="s">
        <v>1142</v>
      </c>
      <c r="B173" s="21" t="s">
        <v>1143</v>
      </c>
      <c r="C173" s="21">
        <v>3.1099999999999999E-2</v>
      </c>
      <c r="D173" s="21">
        <v>181224</v>
      </c>
      <c r="E173" s="21">
        <v>2196829</v>
      </c>
      <c r="F173" s="31">
        <v>70590000</v>
      </c>
    </row>
    <row r="174" spans="1:6" x14ac:dyDescent="0.3">
      <c r="A174" s="18" t="s">
        <v>1148</v>
      </c>
      <c r="B174" s="19" t="s">
        <v>1149</v>
      </c>
      <c r="C174" s="19">
        <v>5.7000000000000002E-3</v>
      </c>
      <c r="D174" s="19">
        <v>55232</v>
      </c>
      <c r="E174" s="19">
        <v>2192711</v>
      </c>
      <c r="F174" s="30">
        <v>382950000</v>
      </c>
    </row>
    <row r="175" spans="1:6" x14ac:dyDescent="0.3">
      <c r="A175" s="20" t="s">
        <v>1154</v>
      </c>
      <c r="B175" s="21" t="s">
        <v>1155</v>
      </c>
      <c r="C175" s="21">
        <v>5.2200000000000003E-2</v>
      </c>
      <c r="D175" s="21">
        <v>238266</v>
      </c>
      <c r="E175" s="21">
        <v>2193844</v>
      </c>
      <c r="F175" s="31">
        <v>1000000000000</v>
      </c>
    </row>
    <row r="176" spans="1:6" x14ac:dyDescent="0.3">
      <c r="A176" s="18" t="s">
        <v>1165</v>
      </c>
      <c r="B176" s="19" t="s">
        <v>1166</v>
      </c>
      <c r="C176" s="19">
        <v>0.30230000000000001</v>
      </c>
      <c r="D176" s="19">
        <v>49762</v>
      </c>
      <c r="E176" s="19">
        <v>2187874</v>
      </c>
      <c r="F176" s="30">
        <v>7230000</v>
      </c>
    </row>
    <row r="177" spans="1:6" x14ac:dyDescent="0.3">
      <c r="A177" s="20" t="s">
        <v>1171</v>
      </c>
      <c r="B177" s="21" t="s">
        <v>1172</v>
      </c>
      <c r="C177" s="21">
        <v>3.7999999999999999E-2</v>
      </c>
      <c r="D177" s="21">
        <v>1268</v>
      </c>
      <c r="E177" s="21">
        <v>2179537</v>
      </c>
      <c r="F177" s="31">
        <v>57340000</v>
      </c>
    </row>
    <row r="178" spans="1:6" x14ac:dyDescent="0.3">
      <c r="A178" s="18" t="s">
        <v>1177</v>
      </c>
      <c r="B178" s="19" t="s">
        <v>1178</v>
      </c>
      <c r="C178" s="19">
        <v>8.3599999999999994E-2</v>
      </c>
      <c r="D178" s="19">
        <v>3030</v>
      </c>
      <c r="E178" s="19">
        <v>2178852</v>
      </c>
      <c r="F178" s="30">
        <v>599880000000000</v>
      </c>
    </row>
    <row r="179" spans="1:6" x14ac:dyDescent="0.3">
      <c r="A179" s="20" t="s">
        <v>1184</v>
      </c>
      <c r="B179" s="21" t="s">
        <v>1185</v>
      </c>
      <c r="C179" s="21">
        <v>3.3E-3</v>
      </c>
      <c r="D179" s="21">
        <v>69711</v>
      </c>
      <c r="E179" s="21">
        <v>2188825</v>
      </c>
      <c r="F179" s="31">
        <v>671090000</v>
      </c>
    </row>
    <row r="180" spans="1:6" x14ac:dyDescent="0.3">
      <c r="A180" s="18" t="s">
        <v>1195</v>
      </c>
      <c r="B180" s="19" t="s">
        <v>1196</v>
      </c>
      <c r="C180" s="19">
        <v>2.0400000000000001E-2</v>
      </c>
      <c r="D180" s="19">
        <v>90761</v>
      </c>
      <c r="E180" s="19">
        <v>1756805</v>
      </c>
      <c r="F180" s="30">
        <v>86060000</v>
      </c>
    </row>
    <row r="181" spans="1:6" x14ac:dyDescent="0.3">
      <c r="A181" s="20" t="s">
        <v>1201</v>
      </c>
      <c r="B181" s="21" t="s">
        <v>1202</v>
      </c>
      <c r="C181" s="21">
        <v>1.8E-3</v>
      </c>
      <c r="D181" s="21">
        <v>403029</v>
      </c>
      <c r="E181" s="21">
        <v>1755788</v>
      </c>
      <c r="F181" s="31">
        <v>999990000</v>
      </c>
    </row>
    <row r="182" spans="1:6" x14ac:dyDescent="0.3">
      <c r="A182" s="18" t="s">
        <v>1207</v>
      </c>
      <c r="B182" s="19" t="s">
        <v>1208</v>
      </c>
      <c r="C182" s="19">
        <v>3.3799999999999997E-2</v>
      </c>
      <c r="D182" s="19">
        <v>637</v>
      </c>
      <c r="E182" s="19">
        <v>1754868</v>
      </c>
      <c r="F182" s="30">
        <v>51980000</v>
      </c>
    </row>
    <row r="183" spans="1:6" x14ac:dyDescent="0.3">
      <c r="A183" s="20" t="s">
        <v>1213</v>
      </c>
      <c r="B183" s="21" t="s">
        <v>1214</v>
      </c>
      <c r="C183" s="21">
        <v>1.5900000000000001E-2</v>
      </c>
      <c r="D183" s="21">
        <v>73794</v>
      </c>
      <c r="E183" s="21">
        <v>1752254</v>
      </c>
      <c r="F183" s="31">
        <v>110370000</v>
      </c>
    </row>
    <row r="184" spans="1:6" x14ac:dyDescent="0.3">
      <c r="A184" s="18" t="s">
        <v>1219</v>
      </c>
      <c r="B184" s="19" t="s">
        <v>1220</v>
      </c>
      <c r="C184" s="19">
        <v>6.6E-3</v>
      </c>
      <c r="D184" s="19">
        <v>99738</v>
      </c>
      <c r="E184" s="19">
        <v>1747236</v>
      </c>
      <c r="F184" s="30">
        <v>266690000</v>
      </c>
    </row>
    <row r="185" spans="1:6" x14ac:dyDescent="0.3">
      <c r="A185" s="20" t="s">
        <v>1225</v>
      </c>
      <c r="B185" s="21" t="s">
        <v>1226</v>
      </c>
      <c r="C185" s="21">
        <v>1.1000000000000001E-3</v>
      </c>
      <c r="D185" s="21">
        <v>57798</v>
      </c>
      <c r="E185" s="21">
        <v>1745226</v>
      </c>
      <c r="F185" s="31">
        <v>1600000000</v>
      </c>
    </row>
    <row r="186" spans="1:6" x14ac:dyDescent="0.3">
      <c r="A186" s="18" t="s">
        <v>1231</v>
      </c>
      <c r="B186" s="19" t="s">
        <v>1232</v>
      </c>
      <c r="C186" s="19">
        <v>1E-4</v>
      </c>
      <c r="D186" s="19">
        <v>28022</v>
      </c>
      <c r="E186" s="19">
        <v>1739324</v>
      </c>
      <c r="F186" s="30">
        <v>29700000000</v>
      </c>
    </row>
    <row r="187" spans="1:6" x14ac:dyDescent="0.3">
      <c r="A187" s="20" t="s">
        <v>1237</v>
      </c>
      <c r="B187" s="21" t="s">
        <v>1238</v>
      </c>
      <c r="C187" s="21">
        <v>7.3000000000000001E-3</v>
      </c>
      <c r="D187" s="21">
        <v>52</v>
      </c>
      <c r="E187" s="21">
        <v>1738739</v>
      </c>
      <c r="F187" s="31">
        <v>239740000</v>
      </c>
    </row>
    <row r="188" spans="1:6" x14ac:dyDescent="0.3">
      <c r="A188" s="22" t="s">
        <v>1243</v>
      </c>
      <c r="B188" s="23" t="s">
        <v>1243</v>
      </c>
      <c r="C188" s="23">
        <v>1.9E-3</v>
      </c>
      <c r="D188" s="23">
        <v>105335</v>
      </c>
      <c r="E188" s="23">
        <v>1736200</v>
      </c>
      <c r="F188" s="32">
        <v>927740000</v>
      </c>
    </row>
  </sheetData>
  <dataValidations count="1">
    <dataValidation type="custom" allowBlank="1" showInputMessage="1" showErrorMessage="1" sqref="J3:K3" xr:uid="{207EC8DB-3947-4A74-A3EB-789DE1481DEE}">
      <formula1>AND(LEN(J3)&gt;2, LEN(J3)&lt;11, NOT(SUMPRODUCT(--ISNUMBER(MID(J3,ROW(INDIRECT("1:"&amp;LEN(J3))),1)))))</formula1>
    </dataValidation>
  </dataValidation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E9E06-B0B8-48EA-85C5-CC8F37A70F0D}">
  <sheetPr codeName="Sheet10"/>
  <dimension ref="A1:M191"/>
  <sheetViews>
    <sheetView tabSelected="1" topLeftCell="F1" zoomScale="98" workbookViewId="0">
      <selection activeCell="I6" sqref="I6"/>
    </sheetView>
  </sheetViews>
  <sheetFormatPr defaultRowHeight="14.4" x14ac:dyDescent="0.3"/>
  <cols>
    <col min="1" max="1" width="31.109375" bestFit="1" customWidth="1"/>
    <col min="2" max="2" width="10" bestFit="1" customWidth="1"/>
    <col min="3" max="3" width="18.77734375" bestFit="1" customWidth="1"/>
    <col min="4" max="4" width="15.44140625" bestFit="1" customWidth="1"/>
    <col min="6" max="6" width="31.77734375" bestFit="1" customWidth="1"/>
    <col min="7" max="7" width="23.6640625" bestFit="1" customWidth="1"/>
    <col min="9" max="9" width="12.33203125" bestFit="1" customWidth="1"/>
    <col min="12" max="12" width="12.33203125" customWidth="1"/>
    <col min="13" max="13" width="31.109375" bestFit="1" customWidth="1"/>
    <col min="14" max="14" width="23.21875" bestFit="1" customWidth="1"/>
  </cols>
  <sheetData>
    <row r="1" spans="1:13" ht="15" thickBot="1" x14ac:dyDescent="0.35">
      <c r="A1" s="24" t="s">
        <v>0</v>
      </c>
      <c r="B1" t="s">
        <v>1302</v>
      </c>
      <c r="C1" s="29" t="s">
        <v>5</v>
      </c>
      <c r="D1" t="s">
        <v>1308</v>
      </c>
      <c r="F1" s="2" t="s">
        <v>1308</v>
      </c>
      <c r="G1" t="s">
        <v>1278</v>
      </c>
    </row>
    <row r="2" spans="1:13" ht="15" thickTop="1" x14ac:dyDescent="0.3">
      <c r="A2" s="18" t="s">
        <v>7</v>
      </c>
      <c r="B2" s="19">
        <v>112396.23</v>
      </c>
      <c r="C2" s="30">
        <v>61196410006</v>
      </c>
      <c r="D2" t="str">
        <f>IF(Table7[[#This Row],[Price]]&lt;=50,"0 to 50 $","&gt; 50 $")</f>
        <v>&gt; 50 $</v>
      </c>
      <c r="I2" t="s">
        <v>1258</v>
      </c>
    </row>
    <row r="3" spans="1:13" x14ac:dyDescent="0.3">
      <c r="A3" s="20" t="s">
        <v>14</v>
      </c>
      <c r="B3" s="21">
        <v>4631.6899999999996</v>
      </c>
      <c r="C3" s="31">
        <v>43714609700</v>
      </c>
      <c r="D3" t="str">
        <f>IF(Table7[[#This Row],[Price]]&lt;=50,"0 to 50 $","&gt; 50 $")</f>
        <v>&gt; 50 $</v>
      </c>
      <c r="F3" s="2" t="s">
        <v>1257</v>
      </c>
      <c r="G3" t="s">
        <v>1297</v>
      </c>
      <c r="I3">
        <f>GETPIVOTDATA("Sum of Volume (24h) USD",$F$4)</f>
        <v>263248796662</v>
      </c>
      <c r="L3" t="s">
        <v>0</v>
      </c>
      <c r="M3" t="s">
        <v>5</v>
      </c>
    </row>
    <row r="4" spans="1:13" x14ac:dyDescent="0.3">
      <c r="A4" s="18" t="s">
        <v>21</v>
      </c>
      <c r="B4" s="19">
        <v>3.02</v>
      </c>
      <c r="C4" s="30">
        <v>6447508710</v>
      </c>
      <c r="D4" t="str">
        <f>IF(Table7[[#This Row],[Price]]&lt;=50,"0 to 50 $","&gt; 50 $")</f>
        <v>0 to 50 $</v>
      </c>
      <c r="F4" s="3" t="s">
        <v>27</v>
      </c>
      <c r="G4">
        <v>117252093277</v>
      </c>
      <c r="L4" t="str">
        <f>F4</f>
        <v>Tether</v>
      </c>
      <c r="M4">
        <f>G4</f>
        <v>117252093277</v>
      </c>
    </row>
    <row r="5" spans="1:13" x14ac:dyDescent="0.3">
      <c r="A5" s="20" t="s">
        <v>27</v>
      </c>
      <c r="B5" s="21">
        <v>1</v>
      </c>
      <c r="C5" s="31">
        <v>117252093277</v>
      </c>
      <c r="D5" t="str">
        <f>IF(Table7[[#This Row],[Price]]&lt;=50,"0 to 50 $","&gt; 50 $")</f>
        <v>0 to 50 $</v>
      </c>
      <c r="F5" s="3" t="s">
        <v>7</v>
      </c>
      <c r="G5">
        <v>61196410006</v>
      </c>
      <c r="L5" t="str">
        <f t="shared" ref="L5:L8" si="0">F5</f>
        <v>Bitcoin</v>
      </c>
      <c r="M5">
        <f t="shared" ref="M5:M8" si="1">G5</f>
        <v>61196410006</v>
      </c>
    </row>
    <row r="6" spans="1:13" x14ac:dyDescent="0.3">
      <c r="A6" s="18" t="s">
        <v>34</v>
      </c>
      <c r="B6" s="19">
        <v>864.91</v>
      </c>
      <c r="C6" s="30">
        <v>2278674127</v>
      </c>
      <c r="D6" t="str">
        <f>IF(Table7[[#This Row],[Price]]&lt;=50,"0 to 50 $","&gt; 50 $")</f>
        <v>&gt; 50 $</v>
      </c>
      <c r="F6" s="3" t="s">
        <v>14</v>
      </c>
      <c r="G6">
        <v>43714609700</v>
      </c>
      <c r="L6" t="str">
        <f t="shared" si="0"/>
        <v>Ethereum</v>
      </c>
      <c r="M6">
        <f t="shared" si="1"/>
        <v>43714609700</v>
      </c>
    </row>
    <row r="7" spans="1:13" x14ac:dyDescent="0.3">
      <c r="A7" s="20" t="s">
        <v>40</v>
      </c>
      <c r="B7" s="21">
        <v>208.97</v>
      </c>
      <c r="C7" s="31">
        <v>10127054144</v>
      </c>
      <c r="D7" t="str">
        <f>IF(Table7[[#This Row],[Price]]&lt;=50,"0 to 50 $","&gt; 50 $")</f>
        <v>&gt; 50 $</v>
      </c>
      <c r="F7" s="3" t="s">
        <v>47</v>
      </c>
      <c r="G7">
        <v>17027792821</v>
      </c>
      <c r="L7" t="str">
        <f t="shared" si="0"/>
        <v>USDC</v>
      </c>
      <c r="M7">
        <f t="shared" si="1"/>
        <v>17027792821</v>
      </c>
    </row>
    <row r="8" spans="1:13" x14ac:dyDescent="0.3">
      <c r="A8" s="18" t="s">
        <v>47</v>
      </c>
      <c r="B8" s="19">
        <v>0.99970000000000003</v>
      </c>
      <c r="C8" s="30">
        <v>17027792821</v>
      </c>
      <c r="D8" t="str">
        <f>IF(Table7[[#This Row],[Price]]&lt;=50,"0 to 50 $","&gt; 50 $")</f>
        <v>0 to 50 $</v>
      </c>
      <c r="F8" s="3" t="s">
        <v>40</v>
      </c>
      <c r="G8">
        <v>10127054144</v>
      </c>
      <c r="L8" t="str">
        <f t="shared" si="0"/>
        <v>Solana</v>
      </c>
      <c r="M8">
        <f t="shared" si="1"/>
        <v>10127054144</v>
      </c>
    </row>
    <row r="9" spans="1:13" x14ac:dyDescent="0.3">
      <c r="A9" s="20" t="s">
        <v>53</v>
      </c>
      <c r="B9" s="21">
        <v>0.22170000000000001</v>
      </c>
      <c r="C9" s="31">
        <v>1961967012</v>
      </c>
      <c r="D9" t="str">
        <f>IF(Table7[[#This Row],[Price]]&lt;=50,"0 to 50 $","&gt; 50 $")</f>
        <v>0 to 50 $</v>
      </c>
      <c r="F9" s="3" t="s">
        <v>21</v>
      </c>
      <c r="G9">
        <v>6447508710</v>
      </c>
      <c r="L9" t="s">
        <v>1309</v>
      </c>
      <c r="M9">
        <f>I3 - SUM(M4:M8)</f>
        <v>13930836714</v>
      </c>
    </row>
    <row r="10" spans="1:13" x14ac:dyDescent="0.3">
      <c r="A10" s="18" t="s">
        <v>60</v>
      </c>
      <c r="B10" s="19">
        <v>0.35020000000000001</v>
      </c>
      <c r="C10" s="30">
        <v>973139421</v>
      </c>
      <c r="D10" t="str">
        <f>IF(Table7[[#This Row],[Price]]&lt;=50,"0 to 50 $","&gt; 50 $")</f>
        <v>0 to 50 $</v>
      </c>
      <c r="F10" s="3" t="s">
        <v>34</v>
      </c>
      <c r="G10">
        <v>2278674127</v>
      </c>
    </row>
    <row r="11" spans="1:13" x14ac:dyDescent="0.3">
      <c r="A11" s="20" t="s">
        <v>67</v>
      </c>
      <c r="B11" s="21">
        <v>0.86929999999999996</v>
      </c>
      <c r="C11" s="31">
        <v>1153461846</v>
      </c>
      <c r="D11" t="str">
        <f>IF(Table7[[#This Row],[Price]]&lt;=50,"0 to 50 $","&gt; 50 $")</f>
        <v>0 to 50 $</v>
      </c>
      <c r="F11" s="3" t="s">
        <v>53</v>
      </c>
      <c r="G11">
        <v>1961967012</v>
      </c>
    </row>
    <row r="12" spans="1:13" x14ac:dyDescent="0.3">
      <c r="A12" s="18" t="s">
        <v>74</v>
      </c>
      <c r="B12" s="19">
        <v>0.99950000000000006</v>
      </c>
      <c r="C12" s="30">
        <v>64711407</v>
      </c>
      <c r="D12" t="str">
        <f>IF(Table7[[#This Row],[Price]]&lt;=50,"0 to 50 $","&gt; 50 $")</f>
        <v>0 to 50 $</v>
      </c>
      <c r="F12" s="3" t="s">
        <v>67</v>
      </c>
      <c r="G12">
        <v>1153461846</v>
      </c>
    </row>
    <row r="13" spans="1:13" x14ac:dyDescent="0.3">
      <c r="A13" s="20" t="s">
        <v>81</v>
      </c>
      <c r="B13" s="21">
        <v>42.45</v>
      </c>
      <c r="C13" s="31">
        <v>71132312</v>
      </c>
      <c r="D13" t="str">
        <f>IF(Table7[[#This Row],[Price]]&lt;=50,"0 to 50 $","&gt; 50 $")</f>
        <v>0 to 50 $</v>
      </c>
      <c r="F13" s="3" t="s">
        <v>60</v>
      </c>
      <c r="G13">
        <v>973139421</v>
      </c>
    </row>
    <row r="14" spans="1:13" x14ac:dyDescent="0.3">
      <c r="A14" s="18" t="s">
        <v>88</v>
      </c>
      <c r="B14" s="19">
        <v>9.1999999999999998E-3</v>
      </c>
      <c r="C14" s="30">
        <v>29038108</v>
      </c>
      <c r="D14" t="str">
        <f>IF(Table7[[#This Row],[Price]]&lt;=50,"0 to 50 $","&gt; 50 $")</f>
        <v>0 to 50 $</v>
      </c>
      <c r="F14" s="3" t="s">
        <v>81</v>
      </c>
      <c r="G14">
        <v>71132312</v>
      </c>
    </row>
    <row r="15" spans="1:13" x14ac:dyDescent="0.3">
      <c r="A15" s="20" t="s">
        <v>94</v>
      </c>
      <c r="B15" s="21">
        <v>0.1171</v>
      </c>
      <c r="C15" s="31">
        <v>24411942</v>
      </c>
      <c r="D15" t="str">
        <f>IF(Table7[[#This Row],[Price]]&lt;=50,"0 to 50 $","&gt; 50 $")</f>
        <v>0 to 50 $</v>
      </c>
      <c r="F15" s="3" t="s">
        <v>453</v>
      </c>
      <c r="G15">
        <v>68082352</v>
      </c>
    </row>
    <row r="16" spans="1:13" x14ac:dyDescent="0.3">
      <c r="A16" s="18" t="s">
        <v>101</v>
      </c>
      <c r="B16" s="19">
        <v>6.6699999999999995E-2</v>
      </c>
      <c r="C16" s="30">
        <v>29706225</v>
      </c>
      <c r="D16" t="str">
        <f>IF(Table7[[#This Row],[Price]]&lt;=50,"0 to 50 $","&gt; 50 $")</f>
        <v>0 to 50 $</v>
      </c>
      <c r="F16" s="3" t="s">
        <v>74</v>
      </c>
      <c r="G16">
        <v>64711407</v>
      </c>
    </row>
    <row r="17" spans="1:7" x14ac:dyDescent="0.3">
      <c r="A17" s="20" t="s">
        <v>107</v>
      </c>
      <c r="B17" s="21">
        <v>0.39090000000000003</v>
      </c>
      <c r="C17" s="31">
        <v>21684159</v>
      </c>
      <c r="D17" t="str">
        <f>IF(Table7[[#This Row],[Price]]&lt;=50,"0 to 50 $","&gt; 50 $")</f>
        <v>0 to 50 $</v>
      </c>
      <c r="F17" s="3" t="s">
        <v>141</v>
      </c>
      <c r="G17">
        <v>64466358</v>
      </c>
    </row>
    <row r="18" spans="1:7" x14ac:dyDescent="0.3">
      <c r="A18" s="18" t="s">
        <v>114</v>
      </c>
      <c r="B18" s="19">
        <v>7.42</v>
      </c>
      <c r="C18" s="30">
        <v>7491105</v>
      </c>
      <c r="D18" t="str">
        <f>IF(Table7[[#This Row],[Price]]&lt;=50,"0 to 50 $","&gt; 50 $")</f>
        <v>0 to 50 $</v>
      </c>
      <c r="F18" s="3" t="s">
        <v>491</v>
      </c>
      <c r="G18">
        <v>50371789</v>
      </c>
    </row>
    <row r="19" spans="1:7" x14ac:dyDescent="0.3">
      <c r="A19" s="20" t="s">
        <v>120</v>
      </c>
      <c r="B19" s="21">
        <v>0.57740000000000002</v>
      </c>
      <c r="C19" s="31">
        <v>23722335</v>
      </c>
      <c r="D19" t="str">
        <f>IF(Table7[[#This Row],[Price]]&lt;=50,"0 to 50 $","&gt; 50 $")</f>
        <v>0 to 50 $</v>
      </c>
      <c r="F19" s="3" t="s">
        <v>771</v>
      </c>
      <c r="G19">
        <v>50214459</v>
      </c>
    </row>
    <row r="20" spans="1:7" x14ac:dyDescent="0.3">
      <c r="A20" s="18" t="s">
        <v>127</v>
      </c>
      <c r="B20" s="19">
        <v>0.40489999999999998</v>
      </c>
      <c r="C20" s="30">
        <v>19083906</v>
      </c>
      <c r="D20" t="str">
        <f>IF(Table7[[#This Row],[Price]]&lt;=50,"0 to 50 $","&gt; 50 $")</f>
        <v>0 to 50 $</v>
      </c>
      <c r="F20" s="3" t="s">
        <v>644</v>
      </c>
      <c r="G20">
        <v>32485149</v>
      </c>
    </row>
    <row r="21" spans="1:7" x14ac:dyDescent="0.3">
      <c r="A21" s="20" t="s">
        <v>134</v>
      </c>
      <c r="B21" s="21">
        <v>0.28820000000000001</v>
      </c>
      <c r="C21" s="31">
        <v>27296450</v>
      </c>
      <c r="D21" t="str">
        <f>IF(Table7[[#This Row],[Price]]&lt;=50,"0 to 50 $","&gt; 50 $")</f>
        <v>0 to 50 $</v>
      </c>
      <c r="F21" s="3" t="s">
        <v>155</v>
      </c>
      <c r="G21">
        <v>30789467</v>
      </c>
    </row>
    <row r="22" spans="1:7" x14ac:dyDescent="0.3">
      <c r="A22" s="18" t="s">
        <v>141</v>
      </c>
      <c r="B22" s="19">
        <v>4.54</v>
      </c>
      <c r="C22" s="30">
        <v>64466358</v>
      </c>
      <c r="D22" t="str">
        <f>IF(Table7[[#This Row],[Price]]&lt;=50,"0 to 50 $","&gt; 50 $")</f>
        <v>0 to 50 $</v>
      </c>
      <c r="F22" s="3" t="s">
        <v>101</v>
      </c>
      <c r="G22">
        <v>29706225</v>
      </c>
    </row>
    <row r="23" spans="1:7" x14ac:dyDescent="0.3">
      <c r="A23" s="20" t="s">
        <v>148</v>
      </c>
      <c r="B23" s="21">
        <v>5.48</v>
      </c>
      <c r="C23" s="31">
        <v>26985300</v>
      </c>
      <c r="D23" t="str">
        <f>IF(Table7[[#This Row],[Price]]&lt;=50,"0 to 50 $","&gt; 50 $")</f>
        <v>0 to 50 $</v>
      </c>
      <c r="F23" s="3" t="s">
        <v>88</v>
      </c>
      <c r="G23">
        <v>29038108</v>
      </c>
    </row>
    <row r="24" spans="1:7" x14ac:dyDescent="0.3">
      <c r="A24" s="18" t="s">
        <v>155</v>
      </c>
      <c r="B24" s="19">
        <v>1</v>
      </c>
      <c r="C24" s="30">
        <v>30789467</v>
      </c>
      <c r="D24" t="str">
        <f>IF(Table7[[#This Row],[Price]]&lt;=50,"0 to 50 $","&gt; 50 $")</f>
        <v>0 to 50 $</v>
      </c>
      <c r="F24" s="3" t="s">
        <v>378</v>
      </c>
      <c r="G24">
        <v>27805860</v>
      </c>
    </row>
    <row r="25" spans="1:7" x14ac:dyDescent="0.3">
      <c r="A25" s="20" t="s">
        <v>161</v>
      </c>
      <c r="B25" s="21">
        <v>2.4E-2</v>
      </c>
      <c r="C25" s="31">
        <v>8289454</v>
      </c>
      <c r="D25" t="str">
        <f>IF(Table7[[#This Row],[Price]]&lt;=50,"0 to 50 $","&gt; 50 $")</f>
        <v>0 to 50 $</v>
      </c>
      <c r="F25" s="3" t="s">
        <v>134</v>
      </c>
      <c r="G25">
        <v>27296450</v>
      </c>
    </row>
    <row r="26" spans="1:7" x14ac:dyDescent="0.3">
      <c r="A26" s="18" t="s">
        <v>168</v>
      </c>
      <c r="B26" s="19">
        <v>1.1000000000000001</v>
      </c>
      <c r="C26" s="30">
        <v>1338625</v>
      </c>
      <c r="D26" t="str">
        <f>IF(Table7[[#This Row],[Price]]&lt;=50,"0 to 50 $","&gt; 50 $")</f>
        <v>0 to 50 $</v>
      </c>
      <c r="F26" s="3" t="s">
        <v>148</v>
      </c>
      <c r="G26">
        <v>26985300</v>
      </c>
    </row>
    <row r="27" spans="1:7" x14ac:dyDescent="0.3">
      <c r="A27" s="20" t="s">
        <v>174</v>
      </c>
      <c r="B27" s="21">
        <v>0.99829999999999997</v>
      </c>
      <c r="C27" s="31">
        <v>4463129</v>
      </c>
      <c r="D27" t="str">
        <f>IF(Table7[[#This Row],[Price]]&lt;=50,"0 to 50 $","&gt; 50 $")</f>
        <v>0 to 50 $</v>
      </c>
      <c r="F27" s="3" t="s">
        <v>94</v>
      </c>
      <c r="G27">
        <v>24411942</v>
      </c>
    </row>
    <row r="28" spans="1:7" x14ac:dyDescent="0.3">
      <c r="A28" s="18" t="s">
        <v>181</v>
      </c>
      <c r="B28" s="19">
        <v>0.17449999999999999</v>
      </c>
      <c r="C28" s="30">
        <v>1377265</v>
      </c>
      <c r="D28" t="str">
        <f>IF(Table7[[#This Row],[Price]]&lt;=50,"0 to 50 $","&gt; 50 $")</f>
        <v>0 to 50 $</v>
      </c>
      <c r="F28" s="3" t="s">
        <v>120</v>
      </c>
      <c r="G28">
        <v>23722335</v>
      </c>
    </row>
    <row r="29" spans="1:7" x14ac:dyDescent="0.3">
      <c r="A29" s="20" t="s">
        <v>188</v>
      </c>
      <c r="B29" s="21">
        <v>7.6300000000000007E-2</v>
      </c>
      <c r="C29" s="31">
        <v>4396792</v>
      </c>
      <c r="D29" t="str">
        <f>IF(Table7[[#This Row],[Price]]&lt;=50,"0 to 50 $","&gt; 50 $")</f>
        <v>0 to 50 $</v>
      </c>
      <c r="F29" s="3" t="s">
        <v>107</v>
      </c>
      <c r="G29">
        <v>21684159</v>
      </c>
    </row>
    <row r="30" spans="1:7" x14ac:dyDescent="0.3">
      <c r="A30" s="18" t="s">
        <v>195</v>
      </c>
      <c r="B30" s="19">
        <v>0.99980000000000002</v>
      </c>
      <c r="C30" s="30">
        <v>5715956</v>
      </c>
      <c r="D30" t="str">
        <f>IF(Table7[[#This Row],[Price]]&lt;=50,"0 to 50 $","&gt; 50 $")</f>
        <v>0 to 50 $</v>
      </c>
      <c r="F30" s="3" t="s">
        <v>127</v>
      </c>
      <c r="G30">
        <v>19083906</v>
      </c>
    </row>
    <row r="31" spans="1:7" x14ac:dyDescent="0.3">
      <c r="A31" s="20" t="s">
        <v>202</v>
      </c>
      <c r="B31" s="21">
        <v>1.94</v>
      </c>
      <c r="C31" s="31">
        <v>325843</v>
      </c>
      <c r="D31" t="str">
        <f>IF(Table7[[#This Row],[Price]]&lt;=50,"0 to 50 $","&gt; 50 $")</f>
        <v>0 to 50 $</v>
      </c>
      <c r="F31" s="3" t="s">
        <v>416</v>
      </c>
      <c r="G31">
        <v>19016000</v>
      </c>
    </row>
    <row r="32" spans="1:7" x14ac:dyDescent="0.3">
      <c r="A32" s="18" t="s">
        <v>209</v>
      </c>
      <c r="B32" s="19">
        <v>7.1400000000000005E-2</v>
      </c>
      <c r="C32" s="30">
        <v>6721454</v>
      </c>
      <c r="D32" t="str">
        <f>IF(Table7[[#This Row],[Price]]&lt;=50,"0 to 50 $","&gt; 50 $")</f>
        <v>0 to 50 $</v>
      </c>
      <c r="F32" s="3" t="s">
        <v>510</v>
      </c>
      <c r="G32">
        <v>18844509</v>
      </c>
    </row>
    <row r="33" spans="1:7" x14ac:dyDescent="0.3">
      <c r="A33" s="20" t="s">
        <v>214</v>
      </c>
      <c r="B33" s="21">
        <v>0.99950000000000006</v>
      </c>
      <c r="C33" s="31">
        <v>343471</v>
      </c>
      <c r="D33" t="str">
        <f>IF(Table7[[#This Row],[Price]]&lt;=50,"0 to 50 $","&gt; 50 $")</f>
        <v>0 to 50 $</v>
      </c>
      <c r="F33" s="3" t="s">
        <v>312</v>
      </c>
      <c r="G33">
        <v>14947172</v>
      </c>
    </row>
    <row r="34" spans="1:7" x14ac:dyDescent="0.3">
      <c r="A34" s="18" t="s">
        <v>219</v>
      </c>
      <c r="B34" s="19">
        <v>0.99960000000000004</v>
      </c>
      <c r="C34" s="30">
        <v>1092882</v>
      </c>
      <c r="D34" t="str">
        <f>IF(Table7[[#This Row],[Price]]&lt;=50,"0 to 50 $","&gt; 50 $")</f>
        <v>0 to 50 $</v>
      </c>
      <c r="F34" s="3" t="s">
        <v>332</v>
      </c>
      <c r="G34">
        <v>13787251</v>
      </c>
    </row>
    <row r="35" spans="1:7" x14ac:dyDescent="0.3">
      <c r="A35" s="20" t="s">
        <v>225</v>
      </c>
      <c r="B35" s="21">
        <v>0.13320000000000001</v>
      </c>
      <c r="C35" s="31">
        <v>2531201</v>
      </c>
      <c r="D35" t="str">
        <f>IF(Table7[[#This Row],[Price]]&lt;=50,"0 to 50 $","&gt; 50 $")</f>
        <v>0 to 50 $</v>
      </c>
      <c r="F35" s="3" t="s">
        <v>541</v>
      </c>
      <c r="G35">
        <v>11510400</v>
      </c>
    </row>
    <row r="36" spans="1:7" x14ac:dyDescent="0.3">
      <c r="A36" s="18" t="s">
        <v>231</v>
      </c>
      <c r="B36" s="19">
        <v>0.27810000000000001</v>
      </c>
      <c r="C36" s="30">
        <v>7930906</v>
      </c>
      <c r="D36" t="str">
        <f>IF(Table7[[#This Row],[Price]]&lt;=50,"0 to 50 $","&gt; 50 $")</f>
        <v>0 to 50 $</v>
      </c>
      <c r="F36" s="3" t="s">
        <v>256</v>
      </c>
      <c r="G36">
        <v>11344790</v>
      </c>
    </row>
    <row r="37" spans="1:7" x14ac:dyDescent="0.3">
      <c r="A37" s="20" t="s">
        <v>238</v>
      </c>
      <c r="B37" s="21">
        <v>0.99970000000000003</v>
      </c>
      <c r="C37" s="31">
        <v>8432086</v>
      </c>
      <c r="D37" t="str">
        <f>IF(Table7[[#This Row],[Price]]&lt;=50,"0 to 50 $","&gt; 50 $")</f>
        <v>0 to 50 $</v>
      </c>
      <c r="F37" s="3" t="s">
        <v>410</v>
      </c>
      <c r="G37">
        <v>10853972</v>
      </c>
    </row>
    <row r="38" spans="1:7" x14ac:dyDescent="0.3">
      <c r="A38" s="18" t="s">
        <v>242</v>
      </c>
      <c r="B38" s="19">
        <v>4.9599999999999998E-2</v>
      </c>
      <c r="C38" s="30">
        <v>10778520</v>
      </c>
      <c r="D38" t="str">
        <f>IF(Table7[[#This Row],[Price]]&lt;=50,"0 to 50 $","&gt; 50 $")</f>
        <v>0 to 50 $</v>
      </c>
      <c r="F38" s="3" t="s">
        <v>242</v>
      </c>
      <c r="G38">
        <v>10778520</v>
      </c>
    </row>
    <row r="39" spans="1:7" x14ac:dyDescent="0.3">
      <c r="A39" s="20" t="s">
        <v>249</v>
      </c>
      <c r="B39" s="21">
        <v>2.6700000000000002E-2</v>
      </c>
      <c r="C39" s="31">
        <v>10487502</v>
      </c>
      <c r="D39" t="str">
        <f>IF(Table7[[#This Row],[Price]]&lt;=50,"0 to 50 $","&gt; 50 $")</f>
        <v>0 to 50 $</v>
      </c>
      <c r="F39" s="3" t="s">
        <v>249</v>
      </c>
      <c r="G39">
        <v>10487502</v>
      </c>
    </row>
    <row r="40" spans="1:7" x14ac:dyDescent="0.3">
      <c r="A40" s="18" t="s">
        <v>256</v>
      </c>
      <c r="B40" s="19">
        <v>6.8099999999999994E-2</v>
      </c>
      <c r="C40" s="30">
        <v>11344790</v>
      </c>
      <c r="D40" t="str">
        <f>IF(Table7[[#This Row],[Price]]&lt;=50,"0 to 50 $","&gt; 50 $")</f>
        <v>0 to 50 $</v>
      </c>
      <c r="F40" s="3" t="s">
        <v>319</v>
      </c>
      <c r="G40">
        <v>10238715</v>
      </c>
    </row>
    <row r="41" spans="1:7" x14ac:dyDescent="0.3">
      <c r="A41" s="20" t="s">
        <v>262</v>
      </c>
      <c r="B41" s="21">
        <v>4.24</v>
      </c>
      <c r="C41" s="31">
        <v>9341488</v>
      </c>
      <c r="D41" t="str">
        <f>IF(Table7[[#This Row],[Price]]&lt;=50,"0 to 50 $","&gt; 50 $")</f>
        <v>0 to 50 $</v>
      </c>
      <c r="F41" s="3" t="s">
        <v>968</v>
      </c>
      <c r="G41">
        <v>10230683</v>
      </c>
    </row>
    <row r="42" spans="1:7" x14ac:dyDescent="0.3">
      <c r="A42" s="18" t="s">
        <v>269</v>
      </c>
      <c r="B42" s="19">
        <v>0.43259999999999998</v>
      </c>
      <c r="C42" s="30">
        <v>9141404</v>
      </c>
      <c r="D42" t="str">
        <f>IF(Table7[[#This Row],[Price]]&lt;=50,"0 to 50 $","&gt; 50 $")</f>
        <v>0 to 50 $</v>
      </c>
      <c r="F42" s="3" t="s">
        <v>429</v>
      </c>
      <c r="G42">
        <v>10189722</v>
      </c>
    </row>
    <row r="43" spans="1:7" x14ac:dyDescent="0.3">
      <c r="A43" s="20" t="s">
        <v>276</v>
      </c>
      <c r="B43" s="21">
        <v>1.62</v>
      </c>
      <c r="C43" s="31">
        <v>9108166</v>
      </c>
      <c r="D43" t="str">
        <f>IF(Table7[[#This Row],[Price]]&lt;=50,"0 to 50 $","&gt; 50 $")</f>
        <v>0 to 50 $</v>
      </c>
      <c r="F43" s="3" t="s">
        <v>446</v>
      </c>
      <c r="G43">
        <v>10068683</v>
      </c>
    </row>
    <row r="44" spans="1:7" x14ac:dyDescent="0.3">
      <c r="A44" s="18" t="s">
        <v>282</v>
      </c>
      <c r="B44" s="19">
        <v>0.69950000000000001</v>
      </c>
      <c r="C44" s="30">
        <v>24699</v>
      </c>
      <c r="D44" t="str">
        <f>IF(Table7[[#This Row],[Price]]&lt;=50,"0 to 50 $","&gt; 50 $")</f>
        <v>0 to 50 $</v>
      </c>
      <c r="F44" s="3" t="s">
        <v>535</v>
      </c>
      <c r="G44">
        <v>9982050</v>
      </c>
    </row>
    <row r="45" spans="1:7" x14ac:dyDescent="0.3">
      <c r="A45" s="20" t="s">
        <v>288</v>
      </c>
      <c r="B45" s="21">
        <v>2.88</v>
      </c>
      <c r="C45" s="31">
        <v>295825</v>
      </c>
      <c r="D45" t="str">
        <f>IF(Table7[[#This Row],[Price]]&lt;=50,"0 to 50 $","&gt; 50 $")</f>
        <v>0 to 50 $</v>
      </c>
      <c r="F45" s="3" t="s">
        <v>485</v>
      </c>
      <c r="G45">
        <v>9778739</v>
      </c>
    </row>
    <row r="46" spans="1:7" x14ac:dyDescent="0.3">
      <c r="A46" s="18" t="s">
        <v>294</v>
      </c>
      <c r="B46" s="19">
        <v>8.6499999999999994E-2</v>
      </c>
      <c r="C46" s="30">
        <v>4522686</v>
      </c>
      <c r="D46" t="str">
        <f>IF(Table7[[#This Row],[Price]]&lt;=50,"0 to 50 $","&gt; 50 $")</f>
        <v>0 to 50 $</v>
      </c>
      <c r="F46" s="3" t="s">
        <v>262</v>
      </c>
      <c r="G46">
        <v>9341488</v>
      </c>
    </row>
    <row r="47" spans="1:7" x14ac:dyDescent="0.3">
      <c r="A47" s="20" t="s">
        <v>300</v>
      </c>
      <c r="B47" s="21">
        <v>6.4000000000000001E-2</v>
      </c>
      <c r="C47" s="31">
        <v>6787116</v>
      </c>
      <c r="D47" t="str">
        <f>IF(Table7[[#This Row],[Price]]&lt;=50,"0 to 50 $","&gt; 50 $")</f>
        <v>0 to 50 $</v>
      </c>
      <c r="F47" s="3" t="s">
        <v>269</v>
      </c>
      <c r="G47">
        <v>9141404</v>
      </c>
    </row>
    <row r="48" spans="1:7" x14ac:dyDescent="0.3">
      <c r="A48" s="18" t="s">
        <v>306</v>
      </c>
      <c r="B48" s="19">
        <v>0.45040000000000002</v>
      </c>
      <c r="C48" s="30">
        <v>4342188</v>
      </c>
      <c r="D48" t="str">
        <f>IF(Table7[[#This Row],[Price]]&lt;=50,"0 to 50 $","&gt; 50 $")</f>
        <v>0 to 50 $</v>
      </c>
      <c r="F48" s="3" t="s">
        <v>276</v>
      </c>
      <c r="G48">
        <v>9108166</v>
      </c>
    </row>
    <row r="49" spans="1:7" x14ac:dyDescent="0.3">
      <c r="A49" s="20" t="s">
        <v>312</v>
      </c>
      <c r="B49" s="21">
        <v>8.5699999999999998E-2</v>
      </c>
      <c r="C49" s="31">
        <v>14947172</v>
      </c>
      <c r="D49" t="str">
        <f>IF(Table7[[#This Row],[Price]]&lt;=50,"0 to 50 $","&gt; 50 $")</f>
        <v>0 to 50 $</v>
      </c>
      <c r="F49" s="3" t="s">
        <v>352</v>
      </c>
      <c r="G49">
        <v>9047350</v>
      </c>
    </row>
    <row r="50" spans="1:7" x14ac:dyDescent="0.3">
      <c r="A50" s="18" t="s">
        <v>319</v>
      </c>
      <c r="B50" s="19">
        <v>8.5400000000000004E-2</v>
      </c>
      <c r="C50" s="30">
        <v>10238715</v>
      </c>
      <c r="D50" t="str">
        <f>IF(Table7[[#This Row],[Price]]&lt;=50,"0 to 50 $","&gt; 50 $")</f>
        <v>0 to 50 $</v>
      </c>
      <c r="F50" s="3" t="s">
        <v>713</v>
      </c>
      <c r="G50">
        <v>8799764</v>
      </c>
    </row>
    <row r="51" spans="1:7" x14ac:dyDescent="0.3">
      <c r="A51" s="20" t="s">
        <v>332</v>
      </c>
      <c r="B51" s="21">
        <v>3.1399999999999997E-2</v>
      </c>
      <c r="C51" s="31">
        <v>13787251</v>
      </c>
      <c r="D51" t="str">
        <f>IF(Table7[[#This Row],[Price]]&lt;=50,"0 to 50 $","&gt; 50 $")</f>
        <v>0 to 50 $</v>
      </c>
      <c r="F51" s="3" t="s">
        <v>765</v>
      </c>
      <c r="G51">
        <v>8599503</v>
      </c>
    </row>
    <row r="52" spans="1:7" x14ac:dyDescent="0.3">
      <c r="A52" s="18" t="s">
        <v>339</v>
      </c>
      <c r="B52" s="19">
        <v>0.72919999999999996</v>
      </c>
      <c r="C52" s="30">
        <v>1249114</v>
      </c>
      <c r="D52" t="str">
        <f>IF(Table7[[#This Row],[Price]]&lt;=50,"0 to 50 $","&gt; 50 $")</f>
        <v>0 to 50 $</v>
      </c>
      <c r="F52" s="3" t="s">
        <v>238</v>
      </c>
      <c r="G52">
        <v>8432086</v>
      </c>
    </row>
    <row r="53" spans="1:7" x14ac:dyDescent="0.3">
      <c r="A53" s="20" t="s">
        <v>346</v>
      </c>
      <c r="B53" s="21">
        <v>8.0000000000000002E-3</v>
      </c>
      <c r="C53" s="31">
        <v>5327551</v>
      </c>
      <c r="D53" t="str">
        <f>IF(Table7[[#This Row],[Price]]&lt;=50,"0 to 50 $","&gt; 50 $")</f>
        <v>0 to 50 $</v>
      </c>
      <c r="F53" s="3" t="s">
        <v>515</v>
      </c>
      <c r="G53">
        <v>8324722</v>
      </c>
    </row>
    <row r="54" spans="1:7" x14ac:dyDescent="0.3">
      <c r="A54" s="18" t="s">
        <v>352</v>
      </c>
      <c r="B54" s="19">
        <v>7.9799999999999996E-2</v>
      </c>
      <c r="C54" s="30">
        <v>9047350</v>
      </c>
      <c r="D54" t="str">
        <f>IF(Table7[[#This Row],[Price]]&lt;=50,"0 to 50 $","&gt; 50 $")</f>
        <v>0 to 50 $</v>
      </c>
      <c r="F54" s="3" t="s">
        <v>161</v>
      </c>
      <c r="G54">
        <v>8289454</v>
      </c>
    </row>
    <row r="55" spans="1:7" x14ac:dyDescent="0.3">
      <c r="A55" s="20" t="s">
        <v>358</v>
      </c>
      <c r="B55" s="21">
        <v>2.8999999999999998E-3</v>
      </c>
      <c r="C55" s="31">
        <v>2058149</v>
      </c>
      <c r="D55" t="str">
        <f>IF(Table7[[#This Row],[Price]]&lt;=50,"0 to 50 $","&gt; 50 $")</f>
        <v>0 to 50 $</v>
      </c>
      <c r="F55" s="3" t="s">
        <v>371</v>
      </c>
      <c r="G55">
        <v>8267657</v>
      </c>
    </row>
    <row r="56" spans="1:7" x14ac:dyDescent="0.3">
      <c r="A56" s="18" t="s">
        <v>365</v>
      </c>
      <c r="B56" s="19">
        <v>11.79</v>
      </c>
      <c r="C56" s="30">
        <v>76515</v>
      </c>
      <c r="D56" t="str">
        <f>IF(Table7[[#This Row],[Price]]&lt;=50,"0 to 50 $","&gt; 50 $")</f>
        <v>0 to 50 $</v>
      </c>
      <c r="F56" s="3" t="s">
        <v>231</v>
      </c>
      <c r="G56">
        <v>7930906</v>
      </c>
    </row>
    <row r="57" spans="1:7" x14ac:dyDescent="0.3">
      <c r="A57" s="20" t="s">
        <v>371</v>
      </c>
      <c r="B57" s="21">
        <v>0.18160000000000001</v>
      </c>
      <c r="C57" s="31">
        <v>8267657</v>
      </c>
      <c r="D57" t="str">
        <f>IF(Table7[[#This Row],[Price]]&lt;=50,"0 to 50 $","&gt; 50 $")</f>
        <v>0 to 50 $</v>
      </c>
      <c r="F57" s="3" t="s">
        <v>1286</v>
      </c>
      <c r="G57">
        <v>7857060</v>
      </c>
    </row>
    <row r="58" spans="1:7" x14ac:dyDescent="0.3">
      <c r="A58" s="18" t="s">
        <v>378</v>
      </c>
      <c r="B58" s="19">
        <v>10.119999999999999</v>
      </c>
      <c r="C58" s="30">
        <v>27805860</v>
      </c>
      <c r="D58" t="str">
        <f>IF(Table7[[#This Row],[Price]]&lt;=50,"0 to 50 $","&gt; 50 $")</f>
        <v>0 to 50 $</v>
      </c>
      <c r="F58" s="3" t="s">
        <v>815</v>
      </c>
      <c r="G58">
        <v>7734230</v>
      </c>
    </row>
    <row r="59" spans="1:7" x14ac:dyDescent="0.3">
      <c r="A59" s="20" t="s">
        <v>384</v>
      </c>
      <c r="B59" s="21">
        <v>5.1999999999999998E-3</v>
      </c>
      <c r="C59" s="31">
        <v>213098</v>
      </c>
      <c r="D59" t="str">
        <f>IF(Table7[[#This Row],[Price]]&lt;=50,"0 to 50 $","&gt; 50 $")</f>
        <v>0 to 50 $</v>
      </c>
      <c r="F59" s="3" t="s">
        <v>114</v>
      </c>
      <c r="G59">
        <v>7491105</v>
      </c>
    </row>
    <row r="60" spans="1:7" x14ac:dyDescent="0.3">
      <c r="A60" s="18" t="s">
        <v>391</v>
      </c>
      <c r="B60" s="19">
        <v>2.17</v>
      </c>
      <c r="C60" s="30">
        <v>2564140</v>
      </c>
      <c r="D60" t="str">
        <f>IF(Table7[[#This Row],[Price]]&lt;=50,"0 to 50 $","&gt; 50 $")</f>
        <v>0 to 50 $</v>
      </c>
      <c r="F60" s="3" t="s">
        <v>300</v>
      </c>
      <c r="G60">
        <v>6787116</v>
      </c>
    </row>
    <row r="61" spans="1:7" x14ac:dyDescent="0.3">
      <c r="A61" s="20" t="s">
        <v>398</v>
      </c>
      <c r="B61" s="21">
        <v>0.67269999999999996</v>
      </c>
      <c r="C61" s="31">
        <v>35491</v>
      </c>
      <c r="D61" t="str">
        <f>IF(Table7[[#This Row],[Price]]&lt;=50,"0 to 50 $","&gt; 50 $")</f>
        <v>0 to 50 $</v>
      </c>
      <c r="F61" s="3" t="s">
        <v>528</v>
      </c>
      <c r="G61">
        <v>6727701</v>
      </c>
    </row>
    <row r="62" spans="1:7" x14ac:dyDescent="0.3">
      <c r="A62" s="18" t="s">
        <v>1</v>
      </c>
      <c r="B62" s="19">
        <v>7.4000000000000003E-3</v>
      </c>
      <c r="C62" s="30">
        <v>758766</v>
      </c>
      <c r="D62" t="str">
        <f>IF(Table7[[#This Row],[Price]]&lt;=50,"0 to 50 $","&gt; 50 $")</f>
        <v>0 to 50 $</v>
      </c>
      <c r="F62" s="3" t="s">
        <v>209</v>
      </c>
      <c r="G62">
        <v>6721454</v>
      </c>
    </row>
    <row r="63" spans="1:7" x14ac:dyDescent="0.3">
      <c r="A63" s="20" t="s">
        <v>410</v>
      </c>
      <c r="B63" s="21">
        <v>2.3599999999999999E-2</v>
      </c>
      <c r="C63" s="31">
        <v>10853972</v>
      </c>
      <c r="D63" t="str">
        <f>IF(Table7[[#This Row],[Price]]&lt;=50,"0 to 50 $","&gt; 50 $")</f>
        <v>0 to 50 $</v>
      </c>
      <c r="F63" s="3" t="s">
        <v>720</v>
      </c>
      <c r="G63">
        <v>6405267</v>
      </c>
    </row>
    <row r="64" spans="1:7" x14ac:dyDescent="0.3">
      <c r="A64" s="18" t="s">
        <v>416</v>
      </c>
      <c r="B64" s="19">
        <v>6.7400000000000002E-2</v>
      </c>
      <c r="C64" s="30">
        <v>19016000</v>
      </c>
      <c r="D64" t="str">
        <f>IF(Table7[[#This Row],[Price]]&lt;=50,"0 to 50 $","&gt; 50 $")</f>
        <v>0 to 50 $</v>
      </c>
      <c r="F64" s="3" t="s">
        <v>663</v>
      </c>
      <c r="G64">
        <v>6112676</v>
      </c>
    </row>
    <row r="65" spans="1:7" x14ac:dyDescent="0.3">
      <c r="A65" s="20" t="s">
        <v>423</v>
      </c>
      <c r="B65" s="21">
        <v>0.2525</v>
      </c>
      <c r="C65" s="31">
        <v>339268</v>
      </c>
      <c r="D65" t="str">
        <f>IF(Table7[[#This Row],[Price]]&lt;=50,"0 to 50 $","&gt; 50 $")</f>
        <v>0 to 50 $</v>
      </c>
      <c r="F65" s="3" t="s">
        <v>195</v>
      </c>
      <c r="G65">
        <v>5715956</v>
      </c>
    </row>
    <row r="66" spans="1:7" x14ac:dyDescent="0.3">
      <c r="A66" s="18" t="s">
        <v>429</v>
      </c>
      <c r="B66" s="19">
        <v>1.24E-2</v>
      </c>
      <c r="C66" s="30">
        <v>10189722</v>
      </c>
      <c r="D66" t="str">
        <f>IF(Table7[[#This Row],[Price]]&lt;=50,"0 to 50 $","&gt; 50 $")</f>
        <v>0 to 50 $</v>
      </c>
      <c r="F66" s="3" t="s">
        <v>601</v>
      </c>
      <c r="G66">
        <v>5622803</v>
      </c>
    </row>
    <row r="67" spans="1:7" x14ac:dyDescent="0.3">
      <c r="A67" s="20" t="s">
        <v>435</v>
      </c>
      <c r="B67" s="21">
        <v>0.42049999999999998</v>
      </c>
      <c r="C67" s="31">
        <v>401821</v>
      </c>
      <c r="D67" t="str">
        <f>IF(Table7[[#This Row],[Price]]&lt;=50,"0 to 50 $","&gt; 50 $")</f>
        <v>0 to 50 $</v>
      </c>
      <c r="F67" s="3" t="s">
        <v>478</v>
      </c>
      <c r="G67">
        <v>5538677</v>
      </c>
    </row>
    <row r="68" spans="1:7" x14ac:dyDescent="0.3">
      <c r="A68" s="18" t="s">
        <v>446</v>
      </c>
      <c r="B68" s="19">
        <v>1.01</v>
      </c>
      <c r="C68" s="30">
        <v>10068683</v>
      </c>
      <c r="D68" t="str">
        <f>IF(Table7[[#This Row],[Price]]&lt;=50,"0 to 50 $","&gt; 50 $")</f>
        <v>0 to 50 $</v>
      </c>
      <c r="F68" s="3" t="s">
        <v>572</v>
      </c>
      <c r="G68">
        <v>5524554</v>
      </c>
    </row>
    <row r="69" spans="1:7" x14ac:dyDescent="0.3">
      <c r="A69" s="20" t="s">
        <v>453</v>
      </c>
      <c r="B69" s="21">
        <v>0.249</v>
      </c>
      <c r="C69" s="31">
        <v>68082352</v>
      </c>
      <c r="D69" t="str">
        <f>IF(Table7[[#This Row],[Price]]&lt;=50,"0 to 50 $","&gt; 50 $")</f>
        <v>0 to 50 $</v>
      </c>
      <c r="F69" s="3" t="s">
        <v>346</v>
      </c>
      <c r="G69">
        <v>5327551</v>
      </c>
    </row>
    <row r="70" spans="1:7" x14ac:dyDescent="0.3">
      <c r="A70" s="18" t="s">
        <v>459</v>
      </c>
      <c r="B70" s="19">
        <v>0.1618</v>
      </c>
      <c r="C70" s="30">
        <v>121069</v>
      </c>
      <c r="D70" t="str">
        <f>IF(Table7[[#This Row],[Price]]&lt;=50,"0 to 50 $","&gt; 50 $")</f>
        <v>0 to 50 $</v>
      </c>
      <c r="F70" s="3" t="s">
        <v>626</v>
      </c>
      <c r="G70">
        <v>4765140</v>
      </c>
    </row>
    <row r="71" spans="1:7" x14ac:dyDescent="0.3">
      <c r="A71" s="20" t="s">
        <v>1286</v>
      </c>
      <c r="B71" s="21">
        <v>0.1431</v>
      </c>
      <c r="C71" s="31">
        <v>7857060</v>
      </c>
      <c r="D71" t="str">
        <f>IF(Table7[[#This Row],[Price]]&lt;=50,"0 to 50 $","&gt; 50 $")</f>
        <v>0 to 50 $</v>
      </c>
      <c r="F71" s="3" t="s">
        <v>294</v>
      </c>
      <c r="G71">
        <v>4522686</v>
      </c>
    </row>
    <row r="72" spans="1:7" x14ac:dyDescent="0.3">
      <c r="A72" s="18" t="s">
        <v>471</v>
      </c>
      <c r="B72" s="19">
        <v>2.0500000000000001E-2</v>
      </c>
      <c r="C72" s="30">
        <v>129282</v>
      </c>
      <c r="D72" t="str">
        <f>IF(Table7[[#This Row],[Price]]&lt;=50,"0 to 50 $","&gt; 50 $")</f>
        <v>0 to 50 $</v>
      </c>
      <c r="F72" s="3" t="s">
        <v>632</v>
      </c>
      <c r="G72">
        <v>4492892</v>
      </c>
    </row>
    <row r="73" spans="1:7" x14ac:dyDescent="0.3">
      <c r="A73" s="20" t="s">
        <v>478</v>
      </c>
      <c r="B73" s="21">
        <v>3.0099999999999998E-2</v>
      </c>
      <c r="C73" s="31">
        <v>5538677</v>
      </c>
      <c r="D73" t="str">
        <f>IF(Table7[[#This Row],[Price]]&lt;=50,"0 to 50 $","&gt; 50 $")</f>
        <v>0 to 50 $</v>
      </c>
      <c r="F73" s="3" t="s">
        <v>174</v>
      </c>
      <c r="G73">
        <v>4463129</v>
      </c>
    </row>
    <row r="74" spans="1:7" x14ac:dyDescent="0.3">
      <c r="A74" s="18" t="s">
        <v>485</v>
      </c>
      <c r="B74" s="19">
        <v>0.89870000000000005</v>
      </c>
      <c r="C74" s="30">
        <v>9778739</v>
      </c>
      <c r="D74" t="str">
        <f>IF(Table7[[#This Row],[Price]]&lt;=50,"0 to 50 $","&gt; 50 $")</f>
        <v>0 to 50 $</v>
      </c>
      <c r="F74" s="3" t="s">
        <v>188</v>
      </c>
      <c r="G74">
        <v>4396792</v>
      </c>
    </row>
    <row r="75" spans="1:7" x14ac:dyDescent="0.3">
      <c r="A75" s="20" t="s">
        <v>491</v>
      </c>
      <c r="B75" s="21">
        <v>0.1125</v>
      </c>
      <c r="C75" s="31">
        <v>50371789</v>
      </c>
      <c r="D75" t="str">
        <f>IF(Table7[[#This Row],[Price]]&lt;=50,"0 to 50 $","&gt; 50 $")</f>
        <v>0 to 50 $</v>
      </c>
      <c r="F75" s="3" t="s">
        <v>306</v>
      </c>
      <c r="G75">
        <v>4342188</v>
      </c>
    </row>
    <row r="76" spans="1:7" x14ac:dyDescent="0.3">
      <c r="A76" s="18" t="s">
        <v>498</v>
      </c>
      <c r="B76" s="19">
        <v>6.1000000000000004E-3</v>
      </c>
      <c r="C76" s="30">
        <v>1391859</v>
      </c>
      <c r="D76" t="str">
        <f>IF(Table7[[#This Row],[Price]]&lt;=50,"0 to 50 $","&gt; 50 $")</f>
        <v>0 to 50 $</v>
      </c>
      <c r="F76" s="3" t="s">
        <v>669</v>
      </c>
      <c r="G76">
        <v>4251361</v>
      </c>
    </row>
    <row r="77" spans="1:7" x14ac:dyDescent="0.3">
      <c r="A77" s="20" t="s">
        <v>504</v>
      </c>
      <c r="B77" s="21">
        <v>1.23</v>
      </c>
      <c r="C77" s="31">
        <v>75600</v>
      </c>
      <c r="D77" t="str">
        <f>IF(Table7[[#This Row],[Price]]&lt;=50,"0 to 50 $","&gt; 50 $")</f>
        <v>0 to 50 $</v>
      </c>
      <c r="F77" s="3" t="s">
        <v>890</v>
      </c>
      <c r="G77">
        <v>4164781</v>
      </c>
    </row>
    <row r="78" spans="1:7" x14ac:dyDescent="0.3">
      <c r="A78" s="18" t="s">
        <v>510</v>
      </c>
      <c r="B78" s="19">
        <v>2.2800000000000001E-2</v>
      </c>
      <c r="C78" s="30">
        <v>18844509</v>
      </c>
      <c r="D78" t="str">
        <f>IF(Table7[[#This Row],[Price]]&lt;=50,"0 to 50 $","&gt; 50 $")</f>
        <v>0 to 50 $</v>
      </c>
      <c r="F78" s="3" t="s">
        <v>896</v>
      </c>
      <c r="G78">
        <v>3754649</v>
      </c>
    </row>
    <row r="79" spans="1:7" x14ac:dyDescent="0.3">
      <c r="A79" s="20" t="s">
        <v>515</v>
      </c>
      <c r="B79" s="21">
        <v>3.6900000000000002E-2</v>
      </c>
      <c r="C79" s="31">
        <v>8324722</v>
      </c>
      <c r="D79" t="str">
        <f>IF(Table7[[#This Row],[Price]]&lt;=50,"0 to 50 $","&gt; 50 $")</f>
        <v>0 to 50 $</v>
      </c>
      <c r="F79" s="3" t="s">
        <v>553</v>
      </c>
      <c r="G79">
        <v>2642277</v>
      </c>
    </row>
    <row r="80" spans="1:7" x14ac:dyDescent="0.3">
      <c r="A80" s="18" t="s">
        <v>522</v>
      </c>
      <c r="B80" s="19">
        <v>3.1899999999999998E-2</v>
      </c>
      <c r="C80" s="30">
        <v>467706</v>
      </c>
      <c r="D80" t="str">
        <f>IF(Table7[[#This Row],[Price]]&lt;=50,"0 to 50 $","&gt; 50 $")</f>
        <v>0 to 50 $</v>
      </c>
      <c r="F80" s="3" t="s">
        <v>938</v>
      </c>
      <c r="G80">
        <v>2582102</v>
      </c>
    </row>
    <row r="81" spans="1:7" x14ac:dyDescent="0.3">
      <c r="A81" s="20" t="s">
        <v>528</v>
      </c>
      <c r="B81" s="21">
        <v>3.8999999999999998E-3</v>
      </c>
      <c r="C81" s="31">
        <v>6727701</v>
      </c>
      <c r="D81" t="str">
        <f>IF(Table7[[#This Row],[Price]]&lt;=50,"0 to 50 $","&gt; 50 $")</f>
        <v>0 to 50 $</v>
      </c>
      <c r="F81" s="3" t="s">
        <v>391</v>
      </c>
      <c r="G81">
        <v>2564140</v>
      </c>
    </row>
    <row r="82" spans="1:7" x14ac:dyDescent="0.3">
      <c r="A82" s="18" t="s">
        <v>535</v>
      </c>
      <c r="B82" s="19">
        <v>0.62219999999999998</v>
      </c>
      <c r="C82" s="30">
        <v>9982050</v>
      </c>
      <c r="D82" t="str">
        <f>IF(Table7[[#This Row],[Price]]&lt;=50,"0 to 50 $","&gt; 50 $")</f>
        <v>0 to 50 $</v>
      </c>
      <c r="F82" s="3" t="s">
        <v>225</v>
      </c>
      <c r="G82">
        <v>2531201</v>
      </c>
    </row>
    <row r="83" spans="1:7" x14ac:dyDescent="0.3">
      <c r="A83" s="20" t="s">
        <v>541</v>
      </c>
      <c r="B83" s="21">
        <v>7.6200000000000004E-2</v>
      </c>
      <c r="C83" s="31">
        <v>11510400</v>
      </c>
      <c r="D83" t="str">
        <f>IF(Table7[[#This Row],[Price]]&lt;=50,"0 to 50 $","&gt; 50 $")</f>
        <v>0 to 50 $</v>
      </c>
      <c r="F83" s="3" t="s">
        <v>1041</v>
      </c>
      <c r="G83">
        <v>2394175</v>
      </c>
    </row>
    <row r="84" spans="1:7" x14ac:dyDescent="0.3">
      <c r="A84" s="18" t="s">
        <v>548</v>
      </c>
      <c r="B84" s="19">
        <v>2.1100000000000001E-2</v>
      </c>
      <c r="C84" s="30">
        <v>1225263</v>
      </c>
      <c r="D84" t="str">
        <f>IF(Table7[[#This Row],[Price]]&lt;=50,"0 to 50 $","&gt; 50 $")</f>
        <v>0 to 50 $</v>
      </c>
      <c r="F84" s="3" t="s">
        <v>358</v>
      </c>
      <c r="G84">
        <v>2058149</v>
      </c>
    </row>
    <row r="85" spans="1:7" x14ac:dyDescent="0.3">
      <c r="A85" s="20" t="s">
        <v>553</v>
      </c>
      <c r="B85" s="21">
        <v>2.58E-2</v>
      </c>
      <c r="C85" s="31">
        <v>2642277</v>
      </c>
      <c r="D85" t="str">
        <f>IF(Table7[[#This Row],[Price]]&lt;=50,"0 to 50 $","&gt; 50 $")</f>
        <v>0 to 50 $</v>
      </c>
      <c r="F85" s="3" t="s">
        <v>1054</v>
      </c>
      <c r="G85">
        <v>1991360</v>
      </c>
    </row>
    <row r="86" spans="1:7" x14ac:dyDescent="0.3">
      <c r="A86" s="18" t="s">
        <v>559</v>
      </c>
      <c r="B86" s="19">
        <v>0.1085</v>
      </c>
      <c r="C86" s="30">
        <v>64349</v>
      </c>
      <c r="D86" t="str">
        <f>IF(Table7[[#This Row],[Price]]&lt;=50,"0 to 50 $","&gt; 50 $")</f>
        <v>0 to 50 $</v>
      </c>
      <c r="F86" s="3" t="s">
        <v>783</v>
      </c>
      <c r="G86">
        <v>1784357</v>
      </c>
    </row>
    <row r="87" spans="1:7" x14ac:dyDescent="0.3">
      <c r="A87" s="20" t="s">
        <v>565</v>
      </c>
      <c r="B87" s="21">
        <v>9.5600000000000004E-2</v>
      </c>
      <c r="C87" s="31">
        <v>1704625</v>
      </c>
      <c r="D87" t="str">
        <f>IF(Table7[[#This Row],[Price]]&lt;=50,"0 to 50 $","&gt; 50 $")</f>
        <v>0 to 50 $</v>
      </c>
      <c r="F87" s="3" t="s">
        <v>565</v>
      </c>
      <c r="G87">
        <v>1704625</v>
      </c>
    </row>
    <row r="88" spans="1:7" x14ac:dyDescent="0.3">
      <c r="A88" s="18" t="s">
        <v>572</v>
      </c>
      <c r="B88" s="19">
        <v>2.5499999999999998E-2</v>
      </c>
      <c r="C88" s="30">
        <v>5524554</v>
      </c>
      <c r="D88" t="str">
        <f>IF(Table7[[#This Row],[Price]]&lt;=50,"0 to 50 $","&gt; 50 $")</f>
        <v>0 to 50 $</v>
      </c>
      <c r="F88" s="3" t="s">
        <v>1029</v>
      </c>
      <c r="G88">
        <v>1613699</v>
      </c>
    </row>
    <row r="89" spans="1:7" x14ac:dyDescent="0.3">
      <c r="A89" s="20" t="s">
        <v>578</v>
      </c>
      <c r="B89" s="21">
        <v>0.85289999999999999</v>
      </c>
      <c r="C89" s="31">
        <v>43405</v>
      </c>
      <c r="D89" t="str">
        <f>IF(Table7[[#This Row],[Price]]&lt;=50,"0 to 50 $","&gt; 50 $")</f>
        <v>0 to 50 $</v>
      </c>
      <c r="F89" s="3" t="s">
        <v>688</v>
      </c>
      <c r="G89">
        <v>1406872</v>
      </c>
    </row>
    <row r="90" spans="1:7" x14ac:dyDescent="0.3">
      <c r="A90" s="18" t="s">
        <v>584</v>
      </c>
      <c r="B90" s="19">
        <v>0.99880000000000002</v>
      </c>
      <c r="C90" s="30">
        <v>228239</v>
      </c>
      <c r="D90" t="str">
        <f>IF(Table7[[#This Row],[Price]]&lt;=50,"0 to 50 $","&gt; 50 $")</f>
        <v>0 to 50 $</v>
      </c>
      <c r="F90" s="3" t="s">
        <v>498</v>
      </c>
      <c r="G90">
        <v>1391859</v>
      </c>
    </row>
    <row r="91" spans="1:7" x14ac:dyDescent="0.3">
      <c r="A91" s="20" t="s">
        <v>589</v>
      </c>
      <c r="B91" s="21">
        <v>3.7900000000000003E-2</v>
      </c>
      <c r="C91" s="31">
        <v>706323</v>
      </c>
      <c r="D91" t="str">
        <f>IF(Table7[[#This Row],[Price]]&lt;=50,"0 to 50 $","&gt; 50 $")</f>
        <v>0 to 50 $</v>
      </c>
      <c r="F91" s="3" t="s">
        <v>181</v>
      </c>
      <c r="G91">
        <v>1377265</v>
      </c>
    </row>
    <row r="92" spans="1:7" x14ac:dyDescent="0.3">
      <c r="A92" s="18" t="s">
        <v>595</v>
      </c>
      <c r="B92" s="19">
        <v>0.02</v>
      </c>
      <c r="C92" s="30">
        <v>357326</v>
      </c>
      <c r="D92" t="str">
        <f>IF(Table7[[#This Row],[Price]]&lt;=50,"0 to 50 $","&gt; 50 $")</f>
        <v>0 to 50 $</v>
      </c>
      <c r="F92" s="3" t="s">
        <v>168</v>
      </c>
      <c r="G92">
        <v>1338625</v>
      </c>
    </row>
    <row r="93" spans="1:7" x14ac:dyDescent="0.3">
      <c r="A93" s="20" t="s">
        <v>601</v>
      </c>
      <c r="B93" s="21">
        <v>8.1699999999999995E-2</v>
      </c>
      <c r="C93" s="31">
        <v>5622803</v>
      </c>
      <c r="D93" t="str">
        <f>IF(Table7[[#This Row],[Price]]&lt;=50,"0 to 50 $","&gt; 50 $")</f>
        <v>0 to 50 $</v>
      </c>
      <c r="F93" s="3" t="s">
        <v>339</v>
      </c>
      <c r="G93">
        <v>1249114</v>
      </c>
    </row>
    <row r="94" spans="1:7" x14ac:dyDescent="0.3">
      <c r="A94" s="18" t="s">
        <v>607</v>
      </c>
      <c r="B94" s="19">
        <v>5.4999999999999997E-3</v>
      </c>
      <c r="C94" s="30">
        <v>181555</v>
      </c>
      <c r="D94" t="str">
        <f>IF(Table7[[#This Row],[Price]]&lt;=50,"0 to 50 $","&gt; 50 $")</f>
        <v>0 to 50 $</v>
      </c>
      <c r="F94" s="3" t="s">
        <v>548</v>
      </c>
      <c r="G94">
        <v>1225263</v>
      </c>
    </row>
    <row r="95" spans="1:7" x14ac:dyDescent="0.3">
      <c r="A95" s="20" t="s">
        <v>614</v>
      </c>
      <c r="B95" s="21">
        <v>3.8899999999999997E-2</v>
      </c>
      <c r="C95" s="31">
        <v>1002</v>
      </c>
      <c r="D95" t="str">
        <f>IF(Table7[[#This Row],[Price]]&lt;=50,"0 to 50 $","&gt; 50 $")</f>
        <v>0 to 50 $</v>
      </c>
      <c r="F95" s="3" t="s">
        <v>739</v>
      </c>
      <c r="G95">
        <v>1157910</v>
      </c>
    </row>
    <row r="96" spans="1:7" x14ac:dyDescent="0.3">
      <c r="A96" s="18" t="s">
        <v>620</v>
      </c>
      <c r="B96" s="19">
        <v>9.4000000000000004E-3</v>
      </c>
      <c r="C96" s="30">
        <v>189918</v>
      </c>
      <c r="D96" t="str">
        <f>IF(Table7[[#This Row],[Price]]&lt;=50,"0 to 50 $","&gt; 50 $")</f>
        <v>0 to 50 $</v>
      </c>
      <c r="F96" s="3" t="s">
        <v>219</v>
      </c>
      <c r="G96">
        <v>1092882</v>
      </c>
    </row>
    <row r="97" spans="1:7" x14ac:dyDescent="0.3">
      <c r="A97" s="20" t="s">
        <v>626</v>
      </c>
      <c r="B97" s="21">
        <v>6.6400000000000001E-2</v>
      </c>
      <c r="C97" s="31">
        <v>4765140</v>
      </c>
      <c r="D97" t="str">
        <f>IF(Table7[[#This Row],[Price]]&lt;=50,"0 to 50 $","&gt; 50 $")</f>
        <v>0 to 50 $</v>
      </c>
      <c r="F97" s="3" t="s">
        <v>789</v>
      </c>
      <c r="G97">
        <v>1018996</v>
      </c>
    </row>
    <row r="98" spans="1:7" x14ac:dyDescent="0.3">
      <c r="A98" s="18" t="s">
        <v>632</v>
      </c>
      <c r="B98" s="19">
        <v>2.18E-2</v>
      </c>
      <c r="C98" s="30">
        <v>4492892</v>
      </c>
      <c r="D98" t="str">
        <f>IF(Table7[[#This Row],[Price]]&lt;=50,"0 to 50 $","&gt; 50 $")</f>
        <v>0 to 50 $</v>
      </c>
      <c r="F98" s="3" t="s">
        <v>915</v>
      </c>
      <c r="G98">
        <v>1013267</v>
      </c>
    </row>
    <row r="99" spans="1:7" x14ac:dyDescent="0.3">
      <c r="A99" s="20" t="s">
        <v>638</v>
      </c>
      <c r="B99" s="21">
        <v>16.850000000000001</v>
      </c>
      <c r="C99" s="31">
        <v>119734</v>
      </c>
      <c r="D99" t="str">
        <f>IF(Table7[[#This Row],[Price]]&lt;=50,"0 to 50 $","&gt; 50 $")</f>
        <v>0 to 50 $</v>
      </c>
      <c r="F99" s="3" t="s">
        <v>1035</v>
      </c>
      <c r="G99">
        <v>875780</v>
      </c>
    </row>
    <row r="100" spans="1:7" x14ac:dyDescent="0.3">
      <c r="A100" s="18" t="s">
        <v>644</v>
      </c>
      <c r="B100" s="19">
        <v>0.1108</v>
      </c>
      <c r="C100" s="30">
        <v>32485149</v>
      </c>
      <c r="D100" t="str">
        <f>IF(Table7[[#This Row],[Price]]&lt;=50,"0 to 50 $","&gt; 50 $")</f>
        <v>0 to 50 $</v>
      </c>
      <c r="F100" s="3" t="s">
        <v>796</v>
      </c>
      <c r="G100">
        <v>849245</v>
      </c>
    </row>
    <row r="101" spans="1:7" x14ac:dyDescent="0.3">
      <c r="A101" s="20" t="s">
        <v>651</v>
      </c>
      <c r="B101" s="21">
        <v>7.0000000000000001E-3</v>
      </c>
      <c r="C101" s="31">
        <v>138</v>
      </c>
      <c r="D101" t="str">
        <f>IF(Table7[[#This Row],[Price]]&lt;=50,"0 to 50 $","&gt; 50 $")</f>
        <v>0 to 50 $</v>
      </c>
      <c r="F101" s="3" t="s">
        <v>921</v>
      </c>
      <c r="G101">
        <v>846710</v>
      </c>
    </row>
    <row r="102" spans="1:7" x14ac:dyDescent="0.3">
      <c r="A102" s="18" t="s">
        <v>657</v>
      </c>
      <c r="B102" s="19">
        <v>4.0000000000000002E-4</v>
      </c>
      <c r="C102" s="30">
        <v>499518</v>
      </c>
      <c r="D102" t="str">
        <f>IF(Table7[[#This Row],[Price]]&lt;=50,"0 to 50 $","&gt; 50 $")</f>
        <v>0 to 50 $</v>
      </c>
      <c r="F102" s="3" t="s">
        <v>706</v>
      </c>
      <c r="G102">
        <v>810252</v>
      </c>
    </row>
    <row r="103" spans="1:7" x14ac:dyDescent="0.3">
      <c r="A103" s="20" t="s">
        <v>663</v>
      </c>
      <c r="B103" s="21">
        <v>2.0000000000000001E-4</v>
      </c>
      <c r="C103" s="31">
        <v>6112676</v>
      </c>
      <c r="D103" t="str">
        <f>IF(Table7[[#This Row],[Price]]&lt;=50,"0 to 50 $","&gt; 50 $")</f>
        <v>0 to 50 $</v>
      </c>
      <c r="F103" s="3" t="s">
        <v>1</v>
      </c>
      <c r="G103">
        <v>758766</v>
      </c>
    </row>
    <row r="104" spans="1:7" x14ac:dyDescent="0.3">
      <c r="A104" s="18" t="s">
        <v>669</v>
      </c>
      <c r="B104" s="19">
        <v>3.32E-2</v>
      </c>
      <c r="C104" s="30">
        <v>4251361</v>
      </c>
      <c r="D104" t="str">
        <f>IF(Table7[[#This Row],[Price]]&lt;=50,"0 to 50 $","&gt; 50 $")</f>
        <v>0 to 50 $</v>
      </c>
      <c r="F104" s="3" t="s">
        <v>589</v>
      </c>
      <c r="G104">
        <v>706323</v>
      </c>
    </row>
    <row r="105" spans="1:7" x14ac:dyDescent="0.3">
      <c r="A105" s="20" t="s">
        <v>675</v>
      </c>
      <c r="B105" s="21">
        <v>2.9899999999999999E-2</v>
      </c>
      <c r="C105" s="31">
        <v>316134</v>
      </c>
      <c r="D105" t="str">
        <f>IF(Table7[[#This Row],[Price]]&lt;=50,"0 to 50 $","&gt; 50 $")</f>
        <v>0 to 50 $</v>
      </c>
      <c r="F105" s="3" t="s">
        <v>693</v>
      </c>
      <c r="G105">
        <v>686075</v>
      </c>
    </row>
    <row r="106" spans="1:7" x14ac:dyDescent="0.3">
      <c r="A106" s="18" t="s">
        <v>681</v>
      </c>
      <c r="B106" s="19">
        <v>7.1599999999999997E-2</v>
      </c>
      <c r="C106" s="30">
        <v>542805</v>
      </c>
      <c r="D106" t="str">
        <f>IF(Table7[[#This Row],[Price]]&lt;=50,"0 to 50 $","&gt; 50 $")</f>
        <v>0 to 50 $</v>
      </c>
      <c r="F106" s="3" t="s">
        <v>1097</v>
      </c>
      <c r="G106">
        <v>650212</v>
      </c>
    </row>
    <row r="107" spans="1:7" x14ac:dyDescent="0.3">
      <c r="A107" s="20" t="s">
        <v>688</v>
      </c>
      <c r="B107" s="21">
        <v>1.44E-2</v>
      </c>
      <c r="C107" s="31">
        <v>1406872</v>
      </c>
      <c r="D107" t="str">
        <f>IF(Table7[[#This Row],[Price]]&lt;=50,"0 to 50 $","&gt; 50 $")</f>
        <v>0 to 50 $</v>
      </c>
      <c r="F107" s="3" t="s">
        <v>681</v>
      </c>
      <c r="G107">
        <v>542805</v>
      </c>
    </row>
    <row r="108" spans="1:7" x14ac:dyDescent="0.3">
      <c r="A108" s="18" t="s">
        <v>693</v>
      </c>
      <c r="B108" s="19">
        <v>0.1963</v>
      </c>
      <c r="C108" s="30">
        <v>686075</v>
      </c>
      <c r="D108" t="str">
        <f>IF(Table7[[#This Row],[Price]]&lt;=50,"0 to 50 $","&gt; 50 $")</f>
        <v>0 to 50 $</v>
      </c>
      <c r="F108" s="3" t="s">
        <v>1136</v>
      </c>
      <c r="G108">
        <v>537558</v>
      </c>
    </row>
    <row r="109" spans="1:7" x14ac:dyDescent="0.3">
      <c r="A109" s="20" t="s">
        <v>700</v>
      </c>
      <c r="B109" s="21">
        <v>1.4800000000000001E-2</v>
      </c>
      <c r="C109" s="31">
        <v>34241</v>
      </c>
      <c r="D109" t="str">
        <f>IF(Table7[[#This Row],[Price]]&lt;=50,"0 to 50 $","&gt; 50 $")</f>
        <v>0 to 50 $</v>
      </c>
      <c r="F109" s="3" t="s">
        <v>657</v>
      </c>
      <c r="G109">
        <v>499518</v>
      </c>
    </row>
    <row r="110" spans="1:7" x14ac:dyDescent="0.3">
      <c r="A110" s="18" t="s">
        <v>706</v>
      </c>
      <c r="B110" s="19">
        <v>4.2999999999999997E-2</v>
      </c>
      <c r="C110" s="30">
        <v>810252</v>
      </c>
      <c r="D110" t="str">
        <f>IF(Table7[[#This Row],[Price]]&lt;=50,"0 to 50 $","&gt; 50 $")</f>
        <v>0 to 50 $</v>
      </c>
      <c r="F110" s="3" t="s">
        <v>1074</v>
      </c>
      <c r="G110">
        <v>492884</v>
      </c>
    </row>
    <row r="111" spans="1:7" x14ac:dyDescent="0.3">
      <c r="A111" s="20" t="s">
        <v>713</v>
      </c>
      <c r="B111" s="21">
        <v>1.6899999999999998E-2</v>
      </c>
      <c r="C111" s="31">
        <v>8799764</v>
      </c>
      <c r="D111" t="str">
        <f>IF(Table7[[#This Row],[Price]]&lt;=50,"0 to 50 $","&gt; 50 $")</f>
        <v>0 to 50 $</v>
      </c>
      <c r="F111" s="3" t="s">
        <v>1129</v>
      </c>
      <c r="G111">
        <v>475091</v>
      </c>
    </row>
    <row r="112" spans="1:7" x14ac:dyDescent="0.3">
      <c r="A112" s="18" t="s">
        <v>720</v>
      </c>
      <c r="B112" s="19">
        <v>5.6399999999999999E-2</v>
      </c>
      <c r="C112" s="30">
        <v>6405267</v>
      </c>
      <c r="D112" t="str">
        <f>IF(Table7[[#This Row],[Price]]&lt;=50,"0 to 50 $","&gt; 50 $")</f>
        <v>0 to 50 $</v>
      </c>
      <c r="F112" s="3" t="s">
        <v>522</v>
      </c>
      <c r="G112">
        <v>467706</v>
      </c>
    </row>
    <row r="113" spans="1:7" x14ac:dyDescent="0.3">
      <c r="A113" s="20" t="s">
        <v>726</v>
      </c>
      <c r="B113" s="21">
        <v>0.32490000000000002</v>
      </c>
      <c r="C113" s="31">
        <v>25910</v>
      </c>
      <c r="D113" t="str">
        <f>IF(Table7[[#This Row],[Price]]&lt;=50,"0 to 50 $","&gt; 50 $")</f>
        <v>0 to 50 $</v>
      </c>
      <c r="F113" s="3" t="s">
        <v>859</v>
      </c>
      <c r="G113">
        <v>425962</v>
      </c>
    </row>
    <row r="114" spans="1:7" x14ac:dyDescent="0.3">
      <c r="A114" s="18" t="s">
        <v>732</v>
      </c>
      <c r="B114" s="19">
        <v>0.18329999999999999</v>
      </c>
      <c r="C114" s="30">
        <v>95241</v>
      </c>
      <c r="D114" t="str">
        <f>IF(Table7[[#This Row],[Price]]&lt;=50,"0 to 50 $","&gt; 50 $")</f>
        <v>0 to 50 $</v>
      </c>
      <c r="F114" s="3" t="s">
        <v>1201</v>
      </c>
      <c r="G114">
        <v>403029</v>
      </c>
    </row>
    <row r="115" spans="1:7" x14ac:dyDescent="0.3">
      <c r="A115" s="20" t="s">
        <v>739</v>
      </c>
      <c r="B115" s="21">
        <v>1.24E-2</v>
      </c>
      <c r="C115" s="31">
        <v>1157910</v>
      </c>
      <c r="D115" t="str">
        <f>IF(Table7[[#This Row],[Price]]&lt;=50,"0 to 50 $","&gt; 50 $")</f>
        <v>0 to 50 $</v>
      </c>
      <c r="F115" s="3" t="s">
        <v>435</v>
      </c>
      <c r="G115">
        <v>401821</v>
      </c>
    </row>
    <row r="116" spans="1:7" x14ac:dyDescent="0.3">
      <c r="A116" s="18" t="s">
        <v>745</v>
      </c>
      <c r="B116" s="19">
        <v>4.1999999999999997E-3</v>
      </c>
      <c r="C116" s="30">
        <v>19472</v>
      </c>
      <c r="D116" t="str">
        <f>IF(Table7[[#This Row],[Price]]&lt;=50,"0 to 50 $","&gt; 50 $")</f>
        <v>0 to 50 $</v>
      </c>
      <c r="F116" s="3" t="s">
        <v>951</v>
      </c>
      <c r="G116">
        <v>369327</v>
      </c>
    </row>
    <row r="117" spans="1:7" x14ac:dyDescent="0.3">
      <c r="A117" s="20" t="s">
        <v>752</v>
      </c>
      <c r="B117" s="21">
        <v>7.4499999999999997E-2</v>
      </c>
      <c r="C117" s="31">
        <v>233918</v>
      </c>
      <c r="D117" t="str">
        <f>IF(Table7[[#This Row],[Price]]&lt;=50,"0 to 50 $","&gt; 50 $")</f>
        <v>0 to 50 $</v>
      </c>
      <c r="F117" s="3" t="s">
        <v>595</v>
      </c>
      <c r="G117">
        <v>357326</v>
      </c>
    </row>
    <row r="118" spans="1:7" x14ac:dyDescent="0.3">
      <c r="A118" s="18" t="s">
        <v>759</v>
      </c>
      <c r="B118" s="19">
        <v>0.21590000000000001</v>
      </c>
      <c r="C118" s="30">
        <v>105278</v>
      </c>
      <c r="D118" t="str">
        <f>IF(Table7[[#This Row],[Price]]&lt;=50,"0 to 50 $","&gt; 50 $")</f>
        <v>0 to 50 $</v>
      </c>
      <c r="F118" s="3" t="s">
        <v>1004</v>
      </c>
      <c r="G118">
        <v>355240</v>
      </c>
    </row>
    <row r="119" spans="1:7" x14ac:dyDescent="0.3">
      <c r="A119" s="20" t="s">
        <v>765</v>
      </c>
      <c r="B119" s="21">
        <v>5.0000000000000001E-4</v>
      </c>
      <c r="C119" s="31">
        <v>8599503</v>
      </c>
      <c r="D119" t="str">
        <f>IF(Table7[[#This Row],[Price]]&lt;=50,"0 to 50 $","&gt; 50 $")</f>
        <v>0 to 50 $</v>
      </c>
      <c r="F119" s="3" t="s">
        <v>214</v>
      </c>
      <c r="G119">
        <v>343471</v>
      </c>
    </row>
    <row r="120" spans="1:7" x14ac:dyDescent="0.3">
      <c r="A120" s="18" t="s">
        <v>771</v>
      </c>
      <c r="B120" s="19">
        <v>0.99929999999999997</v>
      </c>
      <c r="C120" s="30">
        <v>50214459</v>
      </c>
      <c r="D120" t="str">
        <f>IF(Table7[[#This Row],[Price]]&lt;=50,"0 to 50 $","&gt; 50 $")</f>
        <v>0 to 50 $</v>
      </c>
      <c r="F120" s="3" t="s">
        <v>878</v>
      </c>
      <c r="G120">
        <v>340331</v>
      </c>
    </row>
    <row r="121" spans="1:7" x14ac:dyDescent="0.3">
      <c r="A121" s="20" t="s">
        <v>777</v>
      </c>
      <c r="B121" s="21">
        <v>3.38</v>
      </c>
      <c r="C121" s="31">
        <v>10</v>
      </c>
      <c r="D121" t="str">
        <f>IF(Table7[[#This Row],[Price]]&lt;=50,"0 to 50 $","&gt; 50 $")</f>
        <v>0 to 50 $</v>
      </c>
      <c r="F121" s="3" t="s">
        <v>423</v>
      </c>
      <c r="G121">
        <v>339268</v>
      </c>
    </row>
    <row r="122" spans="1:7" x14ac:dyDescent="0.3">
      <c r="A122" s="18" t="s">
        <v>783</v>
      </c>
      <c r="B122" s="19">
        <v>0.89400000000000002</v>
      </c>
      <c r="C122" s="30">
        <v>1784357</v>
      </c>
      <c r="D122" t="str">
        <f>IF(Table7[[#This Row],[Price]]&lt;=50,"0 to 50 $","&gt; 50 $")</f>
        <v>0 to 50 $</v>
      </c>
      <c r="F122" s="3" t="s">
        <v>1015</v>
      </c>
      <c r="G122">
        <v>331094</v>
      </c>
    </row>
    <row r="123" spans="1:7" x14ac:dyDescent="0.3">
      <c r="A123" s="20" t="s">
        <v>789</v>
      </c>
      <c r="B123" s="21">
        <v>8.8000000000000005E-3</v>
      </c>
      <c r="C123" s="31">
        <v>1018996</v>
      </c>
      <c r="D123" t="str">
        <f>IF(Table7[[#This Row],[Price]]&lt;=50,"0 to 50 $","&gt; 50 $")</f>
        <v>0 to 50 $</v>
      </c>
      <c r="F123" s="3" t="s">
        <v>202</v>
      </c>
      <c r="G123">
        <v>325843</v>
      </c>
    </row>
    <row r="124" spans="1:7" x14ac:dyDescent="0.3">
      <c r="A124" s="18" t="s">
        <v>796</v>
      </c>
      <c r="B124" s="19">
        <v>3.6299999999999999E-2</v>
      </c>
      <c r="C124" s="30">
        <v>849245</v>
      </c>
      <c r="D124" t="str">
        <f>IF(Table7[[#This Row],[Price]]&lt;=50,"0 to 50 $","&gt; 50 $")</f>
        <v>0 to 50 $</v>
      </c>
      <c r="F124" s="3" t="s">
        <v>884</v>
      </c>
      <c r="G124">
        <v>321408</v>
      </c>
    </row>
    <row r="125" spans="1:7" x14ac:dyDescent="0.3">
      <c r="A125" s="20" t="s">
        <v>802</v>
      </c>
      <c r="B125" s="21">
        <v>4.5600000000000002E-2</v>
      </c>
      <c r="C125" s="31">
        <v>31161</v>
      </c>
      <c r="D125" t="str">
        <f>IF(Table7[[#This Row],[Price]]&lt;=50,"0 to 50 $","&gt; 50 $")</f>
        <v>0 to 50 $</v>
      </c>
      <c r="F125" s="3" t="s">
        <v>675</v>
      </c>
      <c r="G125">
        <v>316134</v>
      </c>
    </row>
    <row r="126" spans="1:7" x14ac:dyDescent="0.3">
      <c r="A126" s="18" t="s">
        <v>808</v>
      </c>
      <c r="B126" s="19">
        <v>8.7099999999999997E-2</v>
      </c>
      <c r="C126" s="30">
        <v>260752</v>
      </c>
      <c r="D126" t="str">
        <f>IF(Table7[[#This Row],[Price]]&lt;=50,"0 to 50 $","&gt; 50 $")</f>
        <v>0 to 50 $</v>
      </c>
      <c r="F126" s="3" t="s">
        <v>288</v>
      </c>
      <c r="G126">
        <v>295825</v>
      </c>
    </row>
    <row r="127" spans="1:7" x14ac:dyDescent="0.3">
      <c r="A127" s="20" t="s">
        <v>815</v>
      </c>
      <c r="B127" s="21">
        <v>3.95E-2</v>
      </c>
      <c r="C127" s="31">
        <v>7734230</v>
      </c>
      <c r="D127" t="str">
        <f>IF(Table7[[#This Row],[Price]]&lt;=50,"0 to 50 $","&gt; 50 $")</f>
        <v>0 to 50 $</v>
      </c>
      <c r="F127" s="3" t="s">
        <v>945</v>
      </c>
      <c r="G127">
        <v>289972</v>
      </c>
    </row>
    <row r="128" spans="1:7" x14ac:dyDescent="0.3">
      <c r="A128" s="18" t="s">
        <v>821</v>
      </c>
      <c r="B128" s="19">
        <v>9.8699999999999996E-2</v>
      </c>
      <c r="C128" s="30">
        <v>229548</v>
      </c>
      <c r="D128" t="str">
        <f>IF(Table7[[#This Row],[Price]]&lt;=50,"0 to 50 $","&gt; 50 $")</f>
        <v>0 to 50 $</v>
      </c>
      <c r="F128" s="3" t="s">
        <v>808</v>
      </c>
      <c r="G128">
        <v>260752</v>
      </c>
    </row>
    <row r="129" spans="1:7" x14ac:dyDescent="0.3">
      <c r="A129" s="20" t="s">
        <v>827</v>
      </c>
      <c r="B129" s="21">
        <v>0.29120000000000001</v>
      </c>
      <c r="C129" s="31">
        <v>65907</v>
      </c>
      <c r="D129" t="str">
        <f>IF(Table7[[#This Row],[Price]]&lt;=50,"0 to 50 $","&gt; 50 $")</f>
        <v>0 to 50 $</v>
      </c>
      <c r="F129" s="3" t="s">
        <v>1091</v>
      </c>
      <c r="G129">
        <v>248901</v>
      </c>
    </row>
    <row r="130" spans="1:7" x14ac:dyDescent="0.3">
      <c r="A130" s="18" t="s">
        <v>842</v>
      </c>
      <c r="B130" s="19">
        <v>3.4700000000000002E-2</v>
      </c>
      <c r="C130" s="30">
        <v>146941</v>
      </c>
      <c r="D130" t="str">
        <f>IF(Table7[[#This Row],[Price]]&lt;=50,"0 to 50 $","&gt; 50 $")</f>
        <v>0 to 50 $</v>
      </c>
      <c r="F130" s="3" t="s">
        <v>1154</v>
      </c>
      <c r="G130">
        <v>238266</v>
      </c>
    </row>
    <row r="131" spans="1:7" x14ac:dyDescent="0.3">
      <c r="A131" s="20" t="s">
        <v>848</v>
      </c>
      <c r="B131" s="21">
        <v>1.9300000000000001E-2</v>
      </c>
      <c r="C131" s="31">
        <v>6780</v>
      </c>
      <c r="D131" t="str">
        <f>IF(Table7[[#This Row],[Price]]&lt;=50,"0 to 50 $","&gt; 50 $")</f>
        <v>0 to 50 $</v>
      </c>
      <c r="F131" s="3" t="s">
        <v>752</v>
      </c>
      <c r="G131">
        <v>233918</v>
      </c>
    </row>
    <row r="132" spans="1:7" x14ac:dyDescent="0.3">
      <c r="A132" s="18" t="s">
        <v>859</v>
      </c>
      <c r="B132" s="19">
        <v>1.38</v>
      </c>
      <c r="C132" s="30">
        <v>425962</v>
      </c>
      <c r="D132" t="str">
        <f>IF(Table7[[#This Row],[Price]]&lt;=50,"0 to 50 $","&gt; 50 $")</f>
        <v>0 to 50 $</v>
      </c>
      <c r="F132" s="3" t="s">
        <v>821</v>
      </c>
      <c r="G132">
        <v>229548</v>
      </c>
    </row>
    <row r="133" spans="1:7" x14ac:dyDescent="0.3">
      <c r="A133" s="20" t="s">
        <v>866</v>
      </c>
      <c r="B133" s="21">
        <v>2.9999999999999997E-4</v>
      </c>
      <c r="C133" s="31">
        <v>87808</v>
      </c>
      <c r="D133" t="str">
        <f>IF(Table7[[#This Row],[Price]]&lt;=50,"0 to 50 $","&gt; 50 $")</f>
        <v>0 to 50 $</v>
      </c>
      <c r="F133" s="3" t="s">
        <v>584</v>
      </c>
      <c r="G133">
        <v>228239</v>
      </c>
    </row>
    <row r="134" spans="1:7" x14ac:dyDescent="0.3">
      <c r="A134" s="18" t="s">
        <v>872</v>
      </c>
      <c r="B134" s="19">
        <v>1E-3</v>
      </c>
      <c r="C134" s="30">
        <v>187469</v>
      </c>
      <c r="D134" t="str">
        <f>IF(Table7[[#This Row],[Price]]&lt;=50,"0 to 50 $","&gt; 50 $")</f>
        <v>0 to 50 $</v>
      </c>
      <c r="F134" s="3" t="s">
        <v>1104</v>
      </c>
      <c r="G134">
        <v>225992</v>
      </c>
    </row>
    <row r="135" spans="1:7" x14ac:dyDescent="0.3">
      <c r="A135" s="20" t="s">
        <v>878</v>
      </c>
      <c r="B135" s="21">
        <v>0.13519999999999999</v>
      </c>
      <c r="C135" s="31">
        <v>340331</v>
      </c>
      <c r="D135" t="str">
        <f>IF(Table7[[#This Row],[Price]]&lt;=50,"0 to 50 $","&gt; 50 $")</f>
        <v>0 to 50 $</v>
      </c>
      <c r="F135" s="3" t="s">
        <v>384</v>
      </c>
      <c r="G135">
        <v>213098</v>
      </c>
    </row>
    <row r="136" spans="1:7" x14ac:dyDescent="0.3">
      <c r="A136" s="18" t="s">
        <v>884</v>
      </c>
      <c r="B136" s="19">
        <v>4.8999999999999998E-3</v>
      </c>
      <c r="C136" s="30">
        <v>321408</v>
      </c>
      <c r="D136" t="str">
        <f>IF(Table7[[#This Row],[Price]]&lt;=50,"0 to 50 $","&gt; 50 $")</f>
        <v>0 to 50 $</v>
      </c>
      <c r="F136" s="3" t="s">
        <v>620</v>
      </c>
      <c r="G136">
        <v>189918</v>
      </c>
    </row>
    <row r="137" spans="1:7" x14ac:dyDescent="0.3">
      <c r="A137" s="20" t="s">
        <v>890</v>
      </c>
      <c r="B137" s="21">
        <v>6.0499999999999998E-2</v>
      </c>
      <c r="C137" s="31">
        <v>4164781</v>
      </c>
      <c r="D137" t="str">
        <f>IF(Table7[[#This Row],[Price]]&lt;=50,"0 to 50 $","&gt; 50 $")</f>
        <v>0 to 50 $</v>
      </c>
      <c r="F137" s="3" t="s">
        <v>872</v>
      </c>
      <c r="G137">
        <v>187469</v>
      </c>
    </row>
    <row r="138" spans="1:7" x14ac:dyDescent="0.3">
      <c r="A138" s="18" t="s">
        <v>896</v>
      </c>
      <c r="B138" s="19">
        <v>0.26100000000000001</v>
      </c>
      <c r="C138" s="30">
        <v>3754649</v>
      </c>
      <c r="D138" t="str">
        <f>IF(Table7[[#This Row],[Price]]&lt;=50,"0 to 50 $","&gt; 50 $")</f>
        <v>0 to 50 $</v>
      </c>
      <c r="F138" s="3" t="s">
        <v>607</v>
      </c>
      <c r="G138">
        <v>181555</v>
      </c>
    </row>
    <row r="139" spans="1:7" x14ac:dyDescent="0.3">
      <c r="A139" s="20" t="s">
        <v>902</v>
      </c>
      <c r="B139" s="21">
        <v>5.8999999999999999E-3</v>
      </c>
      <c r="C139" s="31">
        <v>59834</v>
      </c>
      <c r="D139" t="str">
        <f>IF(Table7[[#This Row],[Price]]&lt;=50,"0 to 50 $","&gt; 50 $")</f>
        <v>0 to 50 $</v>
      </c>
      <c r="F139" s="3" t="s">
        <v>1142</v>
      </c>
      <c r="G139">
        <v>181224</v>
      </c>
    </row>
    <row r="140" spans="1:7" x14ac:dyDescent="0.3">
      <c r="A140" s="18" t="s">
        <v>908</v>
      </c>
      <c r="B140" s="19">
        <v>1.12E-2</v>
      </c>
      <c r="C140" s="30">
        <v>30255</v>
      </c>
      <c r="D140" t="str">
        <f>IF(Table7[[#This Row],[Price]]&lt;=50,"0 to 50 $","&gt; 50 $")</f>
        <v>0 to 50 $</v>
      </c>
      <c r="F140" s="3" t="s">
        <v>842</v>
      </c>
      <c r="G140">
        <v>146941</v>
      </c>
    </row>
    <row r="141" spans="1:7" x14ac:dyDescent="0.3">
      <c r="A141" s="20" t="s">
        <v>915</v>
      </c>
      <c r="B141" s="21">
        <v>5.79E-2</v>
      </c>
      <c r="C141" s="31">
        <v>1013267</v>
      </c>
      <c r="D141" t="str">
        <f>IF(Table7[[#This Row],[Price]]&lt;=50,"0 to 50 $","&gt; 50 $")</f>
        <v>0 to 50 $</v>
      </c>
      <c r="F141" s="3" t="s">
        <v>471</v>
      </c>
      <c r="G141">
        <v>129282</v>
      </c>
    </row>
    <row r="142" spans="1:7" x14ac:dyDescent="0.3">
      <c r="A142" s="18" t="s">
        <v>921</v>
      </c>
      <c r="B142" s="19">
        <v>6.9500000000000006E-2</v>
      </c>
      <c r="C142" s="30">
        <v>846710</v>
      </c>
      <c r="D142" t="str">
        <f>IF(Table7[[#This Row],[Price]]&lt;=50,"0 to 50 $","&gt; 50 $")</f>
        <v>0 to 50 $</v>
      </c>
      <c r="F142" s="3" t="s">
        <v>1067</v>
      </c>
      <c r="G142">
        <v>123380</v>
      </c>
    </row>
    <row r="143" spans="1:7" x14ac:dyDescent="0.3">
      <c r="A143" s="20" t="s">
        <v>926</v>
      </c>
      <c r="B143" s="21">
        <v>9.06</v>
      </c>
      <c r="C143" s="31">
        <v>27503</v>
      </c>
      <c r="D143" t="str">
        <f>IF(Table7[[#This Row],[Price]]&lt;=50,"0 to 50 $","&gt; 50 $")</f>
        <v>0 to 50 $</v>
      </c>
      <c r="F143" s="3" t="s">
        <v>459</v>
      </c>
      <c r="G143">
        <v>121069</v>
      </c>
    </row>
    <row r="144" spans="1:7" x14ac:dyDescent="0.3">
      <c r="A144" s="18" t="s">
        <v>932</v>
      </c>
      <c r="B144" s="19">
        <v>0.30370000000000003</v>
      </c>
      <c r="C144" s="30">
        <v>64548</v>
      </c>
      <c r="D144" t="str">
        <f>IF(Table7[[#This Row],[Price]]&lt;=50,"0 to 50 $","&gt; 50 $")</f>
        <v>0 to 50 $</v>
      </c>
      <c r="F144" s="3" t="s">
        <v>638</v>
      </c>
      <c r="G144">
        <v>119734</v>
      </c>
    </row>
    <row r="145" spans="1:7" x14ac:dyDescent="0.3">
      <c r="A145" s="20" t="s">
        <v>938</v>
      </c>
      <c r="B145" s="21">
        <v>5.1999999999999998E-3</v>
      </c>
      <c r="C145" s="31">
        <v>2582102</v>
      </c>
      <c r="D145" t="str">
        <f>IF(Table7[[#This Row],[Price]]&lt;=50,"0 to 50 $","&gt; 50 $")</f>
        <v>0 to 50 $</v>
      </c>
      <c r="F145" s="3" t="s">
        <v>991</v>
      </c>
      <c r="G145">
        <v>106213</v>
      </c>
    </row>
    <row r="146" spans="1:7" x14ac:dyDescent="0.3">
      <c r="A146" s="18" t="s">
        <v>945</v>
      </c>
      <c r="B146" s="19">
        <v>2.4400000000000002E-2</v>
      </c>
      <c r="C146" s="30">
        <v>289972</v>
      </c>
      <c r="D146" t="str">
        <f>IF(Table7[[#This Row],[Price]]&lt;=50,"0 to 50 $","&gt; 50 $")</f>
        <v>0 to 50 $</v>
      </c>
      <c r="F146" s="3" t="s">
        <v>1243</v>
      </c>
      <c r="G146">
        <v>105335</v>
      </c>
    </row>
    <row r="147" spans="1:7" x14ac:dyDescent="0.3">
      <c r="A147" s="20" t="s">
        <v>951</v>
      </c>
      <c r="B147" s="21">
        <v>8.4400000000000003E-2</v>
      </c>
      <c r="C147" s="31">
        <v>369327</v>
      </c>
      <c r="D147" t="str">
        <f>IF(Table7[[#This Row],[Price]]&lt;=50,"0 to 50 $","&gt; 50 $")</f>
        <v>0 to 50 $</v>
      </c>
      <c r="F147" s="3" t="s">
        <v>759</v>
      </c>
      <c r="G147">
        <v>105278</v>
      </c>
    </row>
    <row r="148" spans="1:7" x14ac:dyDescent="0.3">
      <c r="A148" s="18" t="s">
        <v>968</v>
      </c>
      <c r="B148" s="19">
        <v>6.9999999999999999E-4</v>
      </c>
      <c r="C148" s="30">
        <v>10230683</v>
      </c>
      <c r="D148" t="str">
        <f>IF(Table7[[#This Row],[Price]]&lt;=50,"0 to 50 $","&gt; 50 $")</f>
        <v>0 to 50 $</v>
      </c>
      <c r="F148" s="3" t="s">
        <v>1219</v>
      </c>
      <c r="G148">
        <v>99738</v>
      </c>
    </row>
    <row r="149" spans="1:7" x14ac:dyDescent="0.3">
      <c r="A149" s="20" t="s">
        <v>975</v>
      </c>
      <c r="B149" s="21">
        <v>2.76E-2</v>
      </c>
      <c r="C149" s="31">
        <v>96917</v>
      </c>
      <c r="D149" t="str">
        <f>IF(Table7[[#This Row],[Price]]&lt;=50,"0 to 50 $","&gt; 50 $")</f>
        <v>0 to 50 $</v>
      </c>
      <c r="F149" s="3" t="s">
        <v>975</v>
      </c>
      <c r="G149">
        <v>96917</v>
      </c>
    </row>
    <row r="150" spans="1:7" x14ac:dyDescent="0.3">
      <c r="A150" s="18" t="s">
        <v>981</v>
      </c>
      <c r="B150" s="19">
        <v>3.8999999999999998E-3</v>
      </c>
      <c r="C150" s="30">
        <v>8766</v>
      </c>
      <c r="D150" t="str">
        <f>IF(Table7[[#This Row],[Price]]&lt;=50,"0 to 50 $","&gt; 50 $")</f>
        <v>0 to 50 $</v>
      </c>
      <c r="F150" s="3" t="s">
        <v>1048</v>
      </c>
      <c r="G150">
        <v>95553</v>
      </c>
    </row>
    <row r="151" spans="1:7" x14ac:dyDescent="0.3">
      <c r="A151" s="20" t="s">
        <v>991</v>
      </c>
      <c r="B151" s="21">
        <v>0.20660000000000001</v>
      </c>
      <c r="C151" s="31">
        <v>106213</v>
      </c>
      <c r="D151" t="str">
        <f>IF(Table7[[#This Row],[Price]]&lt;=50,"0 to 50 $","&gt; 50 $")</f>
        <v>0 to 50 $</v>
      </c>
      <c r="F151" s="3" t="s">
        <v>732</v>
      </c>
      <c r="G151">
        <v>95241</v>
      </c>
    </row>
    <row r="152" spans="1:7" x14ac:dyDescent="0.3">
      <c r="A152" s="18" t="s">
        <v>998</v>
      </c>
      <c r="B152" s="19">
        <v>8.9999999999999998E-4</v>
      </c>
      <c r="C152" s="30">
        <v>847</v>
      </c>
      <c r="D152" t="str">
        <f>IF(Table7[[#This Row],[Price]]&lt;=50,"0 to 50 $","&gt; 50 $")</f>
        <v>0 to 50 $</v>
      </c>
      <c r="F152" s="3" t="s">
        <v>1116</v>
      </c>
      <c r="G152">
        <v>93501</v>
      </c>
    </row>
    <row r="153" spans="1:7" x14ac:dyDescent="0.3">
      <c r="A153" s="20" t="s">
        <v>1004</v>
      </c>
      <c r="B153" s="21">
        <v>8.0000000000000004E-4</v>
      </c>
      <c r="C153" s="31">
        <v>355240</v>
      </c>
      <c r="D153" t="str">
        <f>IF(Table7[[#This Row],[Price]]&lt;=50,"0 to 50 $","&gt; 50 $")</f>
        <v>0 to 50 $</v>
      </c>
      <c r="F153" s="3" t="s">
        <v>1195</v>
      </c>
      <c r="G153">
        <v>90761</v>
      </c>
    </row>
    <row r="154" spans="1:7" x14ac:dyDescent="0.3">
      <c r="A154" s="18" t="s">
        <v>1015</v>
      </c>
      <c r="B154" s="19">
        <v>0.16200000000000001</v>
      </c>
      <c r="C154" s="30">
        <v>331094</v>
      </c>
      <c r="D154" t="str">
        <f>IF(Table7[[#This Row],[Price]]&lt;=50,"0 to 50 $","&gt; 50 $")</f>
        <v>0 to 50 $</v>
      </c>
      <c r="F154" s="3" t="s">
        <v>866</v>
      </c>
      <c r="G154">
        <v>87808</v>
      </c>
    </row>
    <row r="155" spans="1:7" x14ac:dyDescent="0.3">
      <c r="A155" s="20" t="s">
        <v>1022</v>
      </c>
      <c r="B155" s="21">
        <v>1.1999999999999999E-3</v>
      </c>
      <c r="C155" s="31">
        <v>18420</v>
      </c>
      <c r="D155" t="str">
        <f>IF(Table7[[#This Row],[Price]]&lt;=50,"0 to 50 $","&gt; 50 $")</f>
        <v>0 to 50 $</v>
      </c>
      <c r="F155" s="3" t="s">
        <v>1123</v>
      </c>
      <c r="G155">
        <v>86410</v>
      </c>
    </row>
    <row r="156" spans="1:7" x14ac:dyDescent="0.3">
      <c r="A156" s="18" t="s">
        <v>1029</v>
      </c>
      <c r="B156" s="19">
        <v>4.0000000000000002E-4</v>
      </c>
      <c r="C156" s="30">
        <v>1613699</v>
      </c>
      <c r="D156" t="str">
        <f>IF(Table7[[#This Row],[Price]]&lt;=50,"0 to 50 $","&gt; 50 $")</f>
        <v>0 to 50 $</v>
      </c>
      <c r="F156" s="3" t="s">
        <v>1081</v>
      </c>
      <c r="G156">
        <v>78498</v>
      </c>
    </row>
    <row r="157" spans="1:7" x14ac:dyDescent="0.3">
      <c r="A157" s="20" t="s">
        <v>1035</v>
      </c>
      <c r="B157" s="21">
        <v>5.3999999999999999E-2</v>
      </c>
      <c r="C157" s="31">
        <v>875780</v>
      </c>
      <c r="D157" t="str">
        <f>IF(Table7[[#This Row],[Price]]&lt;=50,"0 to 50 $","&gt; 50 $")</f>
        <v>0 to 50 $</v>
      </c>
      <c r="F157" s="3" t="s">
        <v>365</v>
      </c>
      <c r="G157">
        <v>76515</v>
      </c>
    </row>
    <row r="158" spans="1:7" x14ac:dyDescent="0.3">
      <c r="A158" s="18" t="s">
        <v>1041</v>
      </c>
      <c r="B158" s="19">
        <v>1.32E-2</v>
      </c>
      <c r="C158" s="30">
        <v>2394175</v>
      </c>
      <c r="D158" t="str">
        <f>IF(Table7[[#This Row],[Price]]&lt;=50,"0 to 50 $","&gt; 50 $")</f>
        <v>0 to 50 $</v>
      </c>
      <c r="F158" s="3" t="s">
        <v>504</v>
      </c>
      <c r="G158">
        <v>75600</v>
      </c>
    </row>
    <row r="159" spans="1:7" x14ac:dyDescent="0.3">
      <c r="A159" s="20" t="s">
        <v>1048</v>
      </c>
      <c r="B159" s="21">
        <v>4.1999999999999997E-3</v>
      </c>
      <c r="C159" s="31">
        <v>95553</v>
      </c>
      <c r="D159" t="str">
        <f>IF(Table7[[#This Row],[Price]]&lt;=50,"0 to 50 $","&gt; 50 $")</f>
        <v>0 to 50 $</v>
      </c>
      <c r="F159" s="3" t="s">
        <v>1213</v>
      </c>
      <c r="G159">
        <v>73794</v>
      </c>
    </row>
    <row r="160" spans="1:7" x14ac:dyDescent="0.3">
      <c r="A160" s="18" t="s">
        <v>1054</v>
      </c>
      <c r="B160" s="19">
        <v>3.6499999999999998E-2</v>
      </c>
      <c r="C160" s="30">
        <v>1991360</v>
      </c>
      <c r="D160" t="str">
        <f>IF(Table7[[#This Row],[Price]]&lt;=50,"0 to 50 $","&gt; 50 $")</f>
        <v>0 to 50 $</v>
      </c>
      <c r="F160" s="3" t="s">
        <v>1184</v>
      </c>
      <c r="G160">
        <v>69711</v>
      </c>
    </row>
    <row r="161" spans="1:7" x14ac:dyDescent="0.3">
      <c r="A161" s="20" t="s">
        <v>1061</v>
      </c>
      <c r="B161" s="21">
        <v>2.9999999999999997E-4</v>
      </c>
      <c r="C161" s="31">
        <v>19915</v>
      </c>
      <c r="D161" t="str">
        <f>IF(Table7[[#This Row],[Price]]&lt;=50,"0 to 50 $","&gt; 50 $")</f>
        <v>0 to 50 $</v>
      </c>
      <c r="F161" s="3" t="s">
        <v>827</v>
      </c>
      <c r="G161">
        <v>65907</v>
      </c>
    </row>
    <row r="162" spans="1:7" x14ac:dyDescent="0.3">
      <c r="A162" s="18" t="s">
        <v>1067</v>
      </c>
      <c r="B162" s="19">
        <v>3.7000000000000002E-3</v>
      </c>
      <c r="C162" s="30">
        <v>123380</v>
      </c>
      <c r="D162" t="str">
        <f>IF(Table7[[#This Row],[Price]]&lt;=50,"0 to 50 $","&gt; 50 $")</f>
        <v>0 to 50 $</v>
      </c>
      <c r="F162" s="3" t="s">
        <v>932</v>
      </c>
      <c r="G162">
        <v>64548</v>
      </c>
    </row>
    <row r="163" spans="1:7" x14ac:dyDescent="0.3">
      <c r="A163" s="20" t="s">
        <v>1074</v>
      </c>
      <c r="B163" s="21">
        <v>5.0000000000000001E-3</v>
      </c>
      <c r="C163" s="31">
        <v>492884</v>
      </c>
      <c r="D163" t="str">
        <f>IF(Table7[[#This Row],[Price]]&lt;=50,"0 to 50 $","&gt; 50 $")</f>
        <v>0 to 50 $</v>
      </c>
      <c r="F163" s="3" t="s">
        <v>559</v>
      </c>
      <c r="G163">
        <v>64349</v>
      </c>
    </row>
    <row r="164" spans="1:7" x14ac:dyDescent="0.3">
      <c r="A164" s="18" t="s">
        <v>1081</v>
      </c>
      <c r="B164" s="19">
        <v>3.5000000000000001E-3</v>
      </c>
      <c r="C164" s="30">
        <v>78498</v>
      </c>
      <c r="D164" t="str">
        <f>IF(Table7[[#This Row],[Price]]&lt;=50,"0 to 50 $","&gt; 50 $")</f>
        <v>0 to 50 $</v>
      </c>
      <c r="F164" s="3" t="s">
        <v>902</v>
      </c>
      <c r="G164">
        <v>59834</v>
      </c>
    </row>
    <row r="165" spans="1:7" x14ac:dyDescent="0.3">
      <c r="A165" s="20" t="s">
        <v>1091</v>
      </c>
      <c r="B165" s="21">
        <v>5.7000000000000002E-3</v>
      </c>
      <c r="C165" s="31">
        <v>248901</v>
      </c>
      <c r="D165" t="str">
        <f>IF(Table7[[#This Row],[Price]]&lt;=50,"0 to 50 $","&gt; 50 $")</f>
        <v>0 to 50 $</v>
      </c>
      <c r="F165" s="3" t="s">
        <v>1225</v>
      </c>
      <c r="G165">
        <v>57798</v>
      </c>
    </row>
    <row r="166" spans="1:7" x14ac:dyDescent="0.3">
      <c r="A166" s="18" t="s">
        <v>1097</v>
      </c>
      <c r="B166" s="19">
        <v>2.63</v>
      </c>
      <c r="C166" s="30">
        <v>650212</v>
      </c>
      <c r="D166" t="str">
        <f>IF(Table7[[#This Row],[Price]]&lt;=50,"0 to 50 $","&gt; 50 $")</f>
        <v>0 to 50 $</v>
      </c>
      <c r="F166" s="3" t="s">
        <v>1148</v>
      </c>
      <c r="G166">
        <v>55232</v>
      </c>
    </row>
    <row r="167" spans="1:7" x14ac:dyDescent="0.3">
      <c r="A167" s="20" t="s">
        <v>1104</v>
      </c>
      <c r="B167" s="21">
        <v>7.22E-2</v>
      </c>
      <c r="C167" s="31">
        <v>225992</v>
      </c>
      <c r="D167" t="str">
        <f>IF(Table7[[#This Row],[Price]]&lt;=50,"0 to 50 $","&gt; 50 $")</f>
        <v>0 to 50 $</v>
      </c>
      <c r="F167" s="3" t="s">
        <v>1165</v>
      </c>
      <c r="G167">
        <v>49762</v>
      </c>
    </row>
    <row r="168" spans="1:7" x14ac:dyDescent="0.3">
      <c r="A168" s="18" t="s">
        <v>1110</v>
      </c>
      <c r="B168" s="19">
        <v>2.7000000000000001E-3</v>
      </c>
      <c r="C168" s="30">
        <v>9317</v>
      </c>
      <c r="D168" t="str">
        <f>IF(Table7[[#This Row],[Price]]&lt;=50,"0 to 50 $","&gt; 50 $")</f>
        <v>0 to 50 $</v>
      </c>
      <c r="F168" s="3" t="s">
        <v>578</v>
      </c>
      <c r="G168">
        <v>43405</v>
      </c>
    </row>
    <row r="169" spans="1:7" x14ac:dyDescent="0.3">
      <c r="A169" s="20" t="s">
        <v>1116</v>
      </c>
      <c r="B169" s="21">
        <v>0.33800000000000002</v>
      </c>
      <c r="C169" s="31">
        <v>93501</v>
      </c>
      <c r="D169" t="str">
        <f>IF(Table7[[#This Row],[Price]]&lt;=50,"0 to 50 $","&gt; 50 $")</f>
        <v>0 to 50 $</v>
      </c>
      <c r="F169" s="3" t="s">
        <v>398</v>
      </c>
      <c r="G169">
        <v>35491</v>
      </c>
    </row>
    <row r="170" spans="1:7" x14ac:dyDescent="0.3">
      <c r="A170" s="18" t="s">
        <v>1123</v>
      </c>
      <c r="B170" s="19">
        <v>8.8499999999999995E-2</v>
      </c>
      <c r="C170" s="30">
        <v>86410</v>
      </c>
      <c r="D170" t="str">
        <f>IF(Table7[[#This Row],[Price]]&lt;=50,"0 to 50 $","&gt; 50 $")</f>
        <v>0 to 50 $</v>
      </c>
      <c r="F170" s="3" t="s">
        <v>700</v>
      </c>
      <c r="G170">
        <v>34241</v>
      </c>
    </row>
    <row r="171" spans="1:7" x14ac:dyDescent="0.3">
      <c r="A171" s="20" t="s">
        <v>1129</v>
      </c>
      <c r="B171" s="21">
        <v>1.7899999999999999E-2</v>
      </c>
      <c r="C171" s="31">
        <v>475091</v>
      </c>
      <c r="D171" t="str">
        <f>IF(Table7[[#This Row],[Price]]&lt;=50,"0 to 50 $","&gt; 50 $")</f>
        <v>0 to 50 $</v>
      </c>
      <c r="F171" s="3" t="s">
        <v>802</v>
      </c>
      <c r="G171">
        <v>31161</v>
      </c>
    </row>
    <row r="172" spans="1:7" x14ac:dyDescent="0.3">
      <c r="A172" s="18" t="s">
        <v>1136</v>
      </c>
      <c r="B172" s="19">
        <v>5.5399999999999998E-2</v>
      </c>
      <c r="C172" s="30">
        <v>537558</v>
      </c>
      <c r="D172" t="str">
        <f>IF(Table7[[#This Row],[Price]]&lt;=50,"0 to 50 $","&gt; 50 $")</f>
        <v>0 to 50 $</v>
      </c>
      <c r="F172" s="3" t="s">
        <v>908</v>
      </c>
      <c r="G172">
        <v>30255</v>
      </c>
    </row>
    <row r="173" spans="1:7" x14ac:dyDescent="0.3">
      <c r="A173" s="20" t="s">
        <v>1142</v>
      </c>
      <c r="B173" s="21">
        <v>3.1099999999999999E-2</v>
      </c>
      <c r="C173" s="31">
        <v>181224</v>
      </c>
      <c r="D173" t="str">
        <f>IF(Table7[[#This Row],[Price]]&lt;=50,"0 to 50 $","&gt; 50 $")</f>
        <v>0 to 50 $</v>
      </c>
      <c r="F173" s="3" t="s">
        <v>1231</v>
      </c>
      <c r="G173">
        <v>28022</v>
      </c>
    </row>
    <row r="174" spans="1:7" x14ac:dyDescent="0.3">
      <c r="A174" s="18" t="s">
        <v>1148</v>
      </c>
      <c r="B174" s="19">
        <v>5.7000000000000002E-3</v>
      </c>
      <c r="C174" s="30">
        <v>55232</v>
      </c>
      <c r="D174" t="str">
        <f>IF(Table7[[#This Row],[Price]]&lt;=50,"0 to 50 $","&gt; 50 $")</f>
        <v>0 to 50 $</v>
      </c>
      <c r="F174" s="3" t="s">
        <v>926</v>
      </c>
      <c r="G174">
        <v>27503</v>
      </c>
    </row>
    <row r="175" spans="1:7" x14ac:dyDescent="0.3">
      <c r="A175" s="20" t="s">
        <v>1154</v>
      </c>
      <c r="B175" s="21">
        <v>5.2200000000000003E-2</v>
      </c>
      <c r="C175" s="31">
        <v>238266</v>
      </c>
      <c r="D175" t="str">
        <f>IF(Table7[[#This Row],[Price]]&lt;=50,"0 to 50 $","&gt; 50 $")</f>
        <v>0 to 50 $</v>
      </c>
      <c r="F175" s="3" t="s">
        <v>726</v>
      </c>
      <c r="G175">
        <v>25910</v>
      </c>
    </row>
    <row r="176" spans="1:7" x14ac:dyDescent="0.3">
      <c r="A176" s="18" t="s">
        <v>1165</v>
      </c>
      <c r="B176" s="19">
        <v>0.30230000000000001</v>
      </c>
      <c r="C176" s="30">
        <v>49762</v>
      </c>
      <c r="D176" t="str">
        <f>IF(Table7[[#This Row],[Price]]&lt;=50,"0 to 50 $","&gt; 50 $")</f>
        <v>0 to 50 $</v>
      </c>
      <c r="F176" s="3" t="s">
        <v>282</v>
      </c>
      <c r="G176">
        <v>24699</v>
      </c>
    </row>
    <row r="177" spans="1:7" x14ac:dyDescent="0.3">
      <c r="A177" s="20" t="s">
        <v>1171</v>
      </c>
      <c r="B177" s="21">
        <v>3.7999999999999999E-2</v>
      </c>
      <c r="C177" s="31">
        <v>1268</v>
      </c>
      <c r="D177" t="str">
        <f>IF(Table7[[#This Row],[Price]]&lt;=50,"0 to 50 $","&gt; 50 $")</f>
        <v>0 to 50 $</v>
      </c>
      <c r="F177" s="3" t="s">
        <v>1061</v>
      </c>
      <c r="G177">
        <v>19915</v>
      </c>
    </row>
    <row r="178" spans="1:7" x14ac:dyDescent="0.3">
      <c r="A178" s="18" t="s">
        <v>1177</v>
      </c>
      <c r="B178" s="19">
        <v>8.3599999999999994E-2</v>
      </c>
      <c r="C178" s="30">
        <v>3030</v>
      </c>
      <c r="D178" t="str">
        <f>IF(Table7[[#This Row],[Price]]&lt;=50,"0 to 50 $","&gt; 50 $")</f>
        <v>0 to 50 $</v>
      </c>
      <c r="F178" s="3" t="s">
        <v>745</v>
      </c>
      <c r="G178">
        <v>19472</v>
      </c>
    </row>
    <row r="179" spans="1:7" x14ac:dyDescent="0.3">
      <c r="A179" s="20" t="s">
        <v>1184</v>
      </c>
      <c r="B179" s="21">
        <v>3.3E-3</v>
      </c>
      <c r="C179" s="31">
        <v>69711</v>
      </c>
      <c r="D179" t="str">
        <f>IF(Table7[[#This Row],[Price]]&lt;=50,"0 to 50 $","&gt; 50 $")</f>
        <v>0 to 50 $</v>
      </c>
      <c r="F179" s="3" t="s">
        <v>1022</v>
      </c>
      <c r="G179">
        <v>18420</v>
      </c>
    </row>
    <row r="180" spans="1:7" x14ac:dyDescent="0.3">
      <c r="A180" s="18" t="s">
        <v>1195</v>
      </c>
      <c r="B180" s="19">
        <v>2.0400000000000001E-2</v>
      </c>
      <c r="C180" s="30">
        <v>90761</v>
      </c>
      <c r="D180" t="str">
        <f>IF(Table7[[#This Row],[Price]]&lt;=50,"0 to 50 $","&gt; 50 $")</f>
        <v>0 to 50 $</v>
      </c>
      <c r="F180" s="3" t="s">
        <v>1110</v>
      </c>
      <c r="G180">
        <v>9317</v>
      </c>
    </row>
    <row r="181" spans="1:7" x14ac:dyDescent="0.3">
      <c r="A181" s="20" t="s">
        <v>1201</v>
      </c>
      <c r="B181" s="21">
        <v>1.8E-3</v>
      </c>
      <c r="C181" s="31">
        <v>403029</v>
      </c>
      <c r="D181" t="str">
        <f>IF(Table7[[#This Row],[Price]]&lt;=50,"0 to 50 $","&gt; 50 $")</f>
        <v>0 to 50 $</v>
      </c>
      <c r="F181" s="3" t="s">
        <v>981</v>
      </c>
      <c r="G181">
        <v>8766</v>
      </c>
    </row>
    <row r="182" spans="1:7" x14ac:dyDescent="0.3">
      <c r="A182" s="18" t="s">
        <v>1207</v>
      </c>
      <c r="B182" s="19">
        <v>3.3799999999999997E-2</v>
      </c>
      <c r="C182" s="30">
        <v>637</v>
      </c>
      <c r="D182" t="str">
        <f>IF(Table7[[#This Row],[Price]]&lt;=50,"0 to 50 $","&gt; 50 $")</f>
        <v>0 to 50 $</v>
      </c>
      <c r="F182" s="3" t="s">
        <v>848</v>
      </c>
      <c r="G182">
        <v>6780</v>
      </c>
    </row>
    <row r="183" spans="1:7" x14ac:dyDescent="0.3">
      <c r="A183" s="20" t="s">
        <v>1213</v>
      </c>
      <c r="B183" s="21">
        <v>1.5900000000000001E-2</v>
      </c>
      <c r="C183" s="31">
        <v>73794</v>
      </c>
      <c r="D183" t="str">
        <f>IF(Table7[[#This Row],[Price]]&lt;=50,"0 to 50 $","&gt; 50 $")</f>
        <v>0 to 50 $</v>
      </c>
      <c r="F183" s="3" t="s">
        <v>1177</v>
      </c>
      <c r="G183">
        <v>3030</v>
      </c>
    </row>
    <row r="184" spans="1:7" x14ac:dyDescent="0.3">
      <c r="A184" s="18" t="s">
        <v>1219</v>
      </c>
      <c r="B184" s="19">
        <v>6.6E-3</v>
      </c>
      <c r="C184" s="30">
        <v>99738</v>
      </c>
      <c r="D184" t="str">
        <f>IF(Table7[[#This Row],[Price]]&lt;=50,"0 to 50 $","&gt; 50 $")</f>
        <v>0 to 50 $</v>
      </c>
      <c r="F184" s="3" t="s">
        <v>1171</v>
      </c>
      <c r="G184">
        <v>1268</v>
      </c>
    </row>
    <row r="185" spans="1:7" x14ac:dyDescent="0.3">
      <c r="A185" s="20" t="s">
        <v>1225</v>
      </c>
      <c r="B185" s="21">
        <v>1.1000000000000001E-3</v>
      </c>
      <c r="C185" s="31">
        <v>57798</v>
      </c>
      <c r="D185" t="str">
        <f>IF(Table7[[#This Row],[Price]]&lt;=50,"0 to 50 $","&gt; 50 $")</f>
        <v>0 to 50 $</v>
      </c>
      <c r="F185" s="3" t="s">
        <v>614</v>
      </c>
      <c r="G185">
        <v>1002</v>
      </c>
    </row>
    <row r="186" spans="1:7" x14ac:dyDescent="0.3">
      <c r="A186" s="18" t="s">
        <v>1231</v>
      </c>
      <c r="B186" s="19">
        <v>1E-4</v>
      </c>
      <c r="C186" s="30">
        <v>28022</v>
      </c>
      <c r="D186" t="str">
        <f>IF(Table7[[#This Row],[Price]]&lt;=50,"0 to 50 $","&gt; 50 $")</f>
        <v>0 to 50 $</v>
      </c>
      <c r="F186" s="3" t="s">
        <v>998</v>
      </c>
      <c r="G186">
        <v>847</v>
      </c>
    </row>
    <row r="187" spans="1:7" x14ac:dyDescent="0.3">
      <c r="A187" s="20" t="s">
        <v>1237</v>
      </c>
      <c r="B187" s="21">
        <v>7.3000000000000001E-3</v>
      </c>
      <c r="C187" s="31">
        <v>52</v>
      </c>
      <c r="D187" t="str">
        <f>IF(Table7[[#This Row],[Price]]&lt;=50,"0 to 50 $","&gt; 50 $")</f>
        <v>0 to 50 $</v>
      </c>
      <c r="F187" s="3" t="s">
        <v>1207</v>
      </c>
      <c r="G187">
        <v>637</v>
      </c>
    </row>
    <row r="188" spans="1:7" x14ac:dyDescent="0.3">
      <c r="A188" s="22" t="s">
        <v>1243</v>
      </c>
      <c r="B188" s="23">
        <v>1.9E-3</v>
      </c>
      <c r="C188" s="32">
        <v>105335</v>
      </c>
      <c r="D188" t="str">
        <f>IF(Table7[[#This Row],[Price]]&lt;=50,"0 to 50 $","&gt; 50 $")</f>
        <v>0 to 50 $</v>
      </c>
      <c r="F188" s="3" t="s">
        <v>651</v>
      </c>
      <c r="G188">
        <v>138</v>
      </c>
    </row>
    <row r="189" spans="1:7" x14ac:dyDescent="0.3">
      <c r="F189" s="3" t="s">
        <v>1237</v>
      </c>
      <c r="G189">
        <v>52</v>
      </c>
    </row>
    <row r="190" spans="1:7" x14ac:dyDescent="0.3">
      <c r="F190" s="3" t="s">
        <v>777</v>
      </c>
      <c r="G190">
        <v>10</v>
      </c>
    </row>
    <row r="191" spans="1:7" x14ac:dyDescent="0.3">
      <c r="F191" s="3" t="s">
        <v>1258</v>
      </c>
      <c r="G191">
        <v>263248796662</v>
      </c>
    </row>
  </sheetData>
  <pageMargins left="0.7" right="0.7" top="0.75" bottom="0.75" header="0.3" footer="0.3"/>
  <drawing r:id="rId2"/>
  <tableParts count="2">
    <tablePart r:id="rId3"/>
    <tablePart r:id="rId4"/>
  </tableParts>
  <extLst>
    <ext xmlns:x14="http://schemas.microsoft.com/office/spreadsheetml/2009/9/main" uri="{A8765BA9-456A-4dab-B4F3-ACF838C121DE}">
      <x14:slicerList>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6F0AAED-AAD8-4351-A450-EAD0AA945F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Raw_Data</vt:lpstr>
      <vt:lpstr>Cleaned_Data</vt:lpstr>
      <vt:lpstr>Pivot-Charts</vt:lpstr>
      <vt:lpstr>Dashboard</vt:lpstr>
      <vt:lpstr>Task 1</vt:lpstr>
      <vt:lpstr>Task 2</vt:lpstr>
      <vt:lpstr>Task 3</vt:lpstr>
      <vt:lpstr>Task 4</vt:lpstr>
      <vt:lpstr>Task 5</vt:lpstr>
      <vt:lpstr>Task 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Harsh Pathare</cp:lastModifiedBy>
  <dcterms:created xsi:type="dcterms:W3CDTF">2025-08-27T17:48:57Z</dcterms:created>
  <dcterms:modified xsi:type="dcterms:W3CDTF">2026-01-12T09:28:17Z</dcterms:modified>
</cp:coreProperties>
</file>